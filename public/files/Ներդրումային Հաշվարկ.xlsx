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8_{949A58D2-1516-40E3-B347-4DA38B051D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ment" sheetId="4" r:id="rId1"/>
    <sheet name="Credit" sheetId="5" r:id="rId2"/>
    <sheet name="Cash flow" sheetId="1" r:id="rId3"/>
    <sheet name="Income Statement" sheetId="7" r:id="rId4"/>
    <sheet name="Info" sheetId="6" r:id="rId5"/>
  </sheets>
  <definedNames>
    <definedName name="Cash_Minimum" localSheetId="3">'Income Statement'!#REF!</definedName>
    <definedName name="Cash_Minimum" localSheetId="0">Investment!#REF!</definedName>
    <definedName name="Cash_Minimum">'Cash flow'!#REF!</definedName>
    <definedName name="Start_Date" localSheetId="3">'Income Statement'!#REF!</definedName>
    <definedName name="Start_Date" localSheetId="0">Investment!#REF!</definedName>
    <definedName name="Start_Date">'Cash flow'!#REF!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6" l="1"/>
  <c r="G8" i="4"/>
  <c r="G7" i="4" l="1"/>
  <c r="B20" i="7"/>
  <c r="B21" i="7"/>
  <c r="B22" i="7"/>
  <c r="B23" i="7"/>
  <c r="B24" i="7"/>
  <c r="B25" i="7"/>
  <c r="B26" i="7"/>
  <c r="B27" i="7"/>
  <c r="B28" i="7"/>
  <c r="F33" i="7"/>
  <c r="F32" i="7"/>
  <c r="F31" i="7"/>
  <c r="C27" i="7"/>
  <c r="D27" i="7" s="1"/>
  <c r="D26" i="7"/>
  <c r="C26" i="7"/>
  <c r="C23" i="7"/>
  <c r="F23" i="7" s="1"/>
  <c r="C22" i="7"/>
  <c r="F22" i="7" s="1"/>
  <c r="C21" i="7"/>
  <c r="F21" i="7" s="1"/>
  <c r="C20" i="7"/>
  <c r="F20" i="7" s="1"/>
  <c r="C19" i="7"/>
  <c r="F11" i="7"/>
  <c r="B10" i="7"/>
  <c r="B9" i="7"/>
  <c r="B8" i="7"/>
  <c r="B7" i="7"/>
  <c r="G21" i="4"/>
  <c r="F26" i="7" l="1"/>
  <c r="E27" i="7"/>
  <c r="F19" i="7"/>
  <c r="D21" i="5"/>
  <c r="E21" i="5"/>
  <c r="L21" i="5"/>
  <c r="M21" i="5"/>
  <c r="D14" i="5"/>
  <c r="E14" i="5"/>
  <c r="F14" i="5"/>
  <c r="F21" i="5" s="1"/>
  <c r="G14" i="5"/>
  <c r="G21" i="5" s="1"/>
  <c r="H14" i="5"/>
  <c r="H21" i="5" s="1"/>
  <c r="I14" i="5"/>
  <c r="I21" i="5" s="1"/>
  <c r="J14" i="5"/>
  <c r="J21" i="5" s="1"/>
  <c r="K14" i="5"/>
  <c r="K21" i="5" s="1"/>
  <c r="L14" i="5"/>
  <c r="M14" i="5"/>
  <c r="N14" i="5"/>
  <c r="N21" i="5" s="1"/>
  <c r="C14" i="5"/>
  <c r="C21" i="5" s="1"/>
  <c r="O20" i="5"/>
  <c r="O13" i="5"/>
  <c r="C31" i="1"/>
  <c r="B33" i="1"/>
  <c r="C28" i="1"/>
  <c r="C27" i="1"/>
  <c r="F27" i="1" s="1"/>
  <c r="C26" i="1"/>
  <c r="C25" i="1"/>
  <c r="B13" i="1"/>
  <c r="B14" i="1"/>
  <c r="B15" i="1"/>
  <c r="B12" i="1"/>
  <c r="C24" i="1"/>
  <c r="F24" i="1" s="1"/>
  <c r="B25" i="1"/>
  <c r="B26" i="1"/>
  <c r="B27" i="1"/>
  <c r="B28" i="1"/>
  <c r="B29" i="1"/>
  <c r="B30" i="1"/>
  <c r="B31" i="1"/>
  <c r="B32" i="1"/>
  <c r="B34" i="1"/>
  <c r="G19" i="4"/>
  <c r="H8" i="4"/>
  <c r="C13" i="1" s="1"/>
  <c r="C8" i="7" s="1"/>
  <c r="F10" i="4"/>
  <c r="H7" i="4"/>
  <c r="F9" i="4"/>
  <c r="H9" i="4" s="1"/>
  <c r="E7" i="4"/>
  <c r="C8" i="1"/>
  <c r="F44" i="1"/>
  <c r="F43" i="1"/>
  <c r="F39" i="1"/>
  <c r="F38" i="1"/>
  <c r="F37" i="1"/>
  <c r="F36" i="1"/>
  <c r="H26" i="4" l="1"/>
  <c r="C30" i="1"/>
  <c r="C25" i="7"/>
  <c r="F25" i="7" s="1"/>
  <c r="C14" i="1"/>
  <c r="E12" i="1"/>
  <c r="E7" i="7" s="1"/>
  <c r="F27" i="7"/>
  <c r="D12" i="1"/>
  <c r="D7" i="7" s="1"/>
  <c r="D13" i="1"/>
  <c r="D8" i="7" s="1"/>
  <c r="F8" i="7" s="1"/>
  <c r="E13" i="1"/>
  <c r="E8" i="7" s="1"/>
  <c r="D14" i="1"/>
  <c r="D9" i="7" s="1"/>
  <c r="C12" i="1"/>
  <c r="E14" i="1"/>
  <c r="E9" i="7" s="1"/>
  <c r="F31" i="1"/>
  <c r="F28" i="1"/>
  <c r="F26" i="1"/>
  <c r="F25" i="1"/>
  <c r="F30" i="1"/>
  <c r="F16" i="1"/>
  <c r="H10" i="4"/>
  <c r="E9" i="4"/>
  <c r="G9" i="4" s="1"/>
  <c r="E10" i="4"/>
  <c r="G10" i="4" s="1"/>
  <c r="C7" i="7" l="1"/>
  <c r="F12" i="1"/>
  <c r="F14" i="1"/>
  <c r="C9" i="7"/>
  <c r="F9" i="7" s="1"/>
  <c r="F7" i="7"/>
  <c r="C15" i="1"/>
  <c r="C10" i="7" s="1"/>
  <c r="F10" i="7" s="1"/>
  <c r="E15" i="1"/>
  <c r="E10" i="7" s="1"/>
  <c r="D15" i="1"/>
  <c r="D10" i="7" s="1"/>
  <c r="G18" i="4"/>
  <c r="F13" i="1"/>
  <c r="C24" i="7" l="1"/>
  <c r="G22" i="4"/>
  <c r="C28" i="7" s="1"/>
  <c r="F15" i="1"/>
  <c r="C32" i="1"/>
  <c r="C29" i="1"/>
  <c r="C17" i="1"/>
  <c r="C4" i="5" l="1"/>
  <c r="C8" i="5"/>
  <c r="C10" i="5" s="1"/>
  <c r="D28" i="7"/>
  <c r="E28" i="7" s="1"/>
  <c r="C33" i="1"/>
  <c r="D33" i="1" s="1"/>
  <c r="E33" i="1" s="1"/>
  <c r="D24" i="7"/>
  <c r="F12" i="7"/>
  <c r="D29" i="1"/>
  <c r="F17" i="1"/>
  <c r="D32" i="1"/>
  <c r="E32" i="1" s="1"/>
  <c r="F32" i="1" s="1"/>
  <c r="C11" i="5" l="1"/>
  <c r="C12" i="5" s="1"/>
  <c r="F28" i="7"/>
  <c r="E24" i="7"/>
  <c r="E29" i="1"/>
  <c r="D10" i="5"/>
  <c r="C17" i="5"/>
  <c r="F33" i="1"/>
  <c r="D8" i="5"/>
  <c r="F24" i="7" l="1"/>
  <c r="E8" i="5"/>
  <c r="D11" i="5"/>
  <c r="D12" i="5" s="1"/>
  <c r="C24" i="5"/>
  <c r="D24" i="5" s="1"/>
  <c r="E24" i="5" s="1"/>
  <c r="F24" i="5" s="1"/>
  <c r="G24" i="5" s="1"/>
  <c r="H24" i="5" s="1"/>
  <c r="I24" i="5" s="1"/>
  <c r="D17" i="5"/>
  <c r="E17" i="5" s="1"/>
  <c r="F17" i="5" s="1"/>
  <c r="G17" i="5" s="1"/>
  <c r="H17" i="5" s="1"/>
  <c r="E10" i="5"/>
  <c r="F10" i="5" l="1"/>
  <c r="F8" i="5"/>
  <c r="E11" i="5"/>
  <c r="E12" i="5" s="1"/>
  <c r="J24" i="5"/>
  <c r="I17" i="5"/>
  <c r="G8" i="5" l="1"/>
  <c r="F11" i="5"/>
  <c r="F12" i="5" s="1"/>
  <c r="G10" i="5"/>
  <c r="K24" i="5"/>
  <c r="J17" i="5"/>
  <c r="H8" i="5" l="1"/>
  <c r="G11" i="5"/>
  <c r="G12" i="5" s="1"/>
  <c r="H10" i="5"/>
  <c r="L24" i="5"/>
  <c r="K17" i="5"/>
  <c r="F29" i="1"/>
  <c r="H11" i="5" l="1"/>
  <c r="H12" i="5" s="1"/>
  <c r="I8" i="5"/>
  <c r="I10" i="5"/>
  <c r="J10" i="5" s="1"/>
  <c r="K10" i="5" s="1"/>
  <c r="L10" i="5" s="1"/>
  <c r="M24" i="5"/>
  <c r="L17" i="5"/>
  <c r="J8" i="5" l="1"/>
  <c r="I11" i="5"/>
  <c r="I12" i="5" s="1"/>
  <c r="N24" i="5"/>
  <c r="M17" i="5"/>
  <c r="M10" i="5"/>
  <c r="K8" i="5" l="1"/>
  <c r="J11" i="5"/>
  <c r="J12" i="5" s="1"/>
  <c r="O24" i="5"/>
  <c r="E42" i="1" s="1"/>
  <c r="N17" i="5"/>
  <c r="N10" i="5"/>
  <c r="G23" i="4"/>
  <c r="L8" i="5" l="1"/>
  <c r="K11" i="5"/>
  <c r="K12" i="5" s="1"/>
  <c r="E34" i="1"/>
  <c r="D34" i="1"/>
  <c r="C34" i="1"/>
  <c r="O17" i="5"/>
  <c r="D42" i="1" s="1"/>
  <c r="O10" i="5"/>
  <c r="C42" i="1" s="1"/>
  <c r="G26" i="4"/>
  <c r="F42" i="1" l="1"/>
  <c r="F34" i="1"/>
  <c r="M8" i="5"/>
  <c r="N8" i="5" s="1"/>
  <c r="L11" i="5"/>
  <c r="L12" i="5" s="1"/>
  <c r="C14" i="7" l="1"/>
  <c r="C18" i="1"/>
  <c r="C19" i="1" s="1"/>
  <c r="C15" i="5"/>
  <c r="M11" i="5"/>
  <c r="M12" i="5" s="1"/>
  <c r="N11" i="5"/>
  <c r="C18" i="5" l="1"/>
  <c r="C19" i="5" s="1"/>
  <c r="D15" i="5"/>
  <c r="O11" i="5"/>
  <c r="N12" i="5"/>
  <c r="O12" i="5" s="1"/>
  <c r="C35" i="1" l="1"/>
  <c r="C40" i="1" s="1"/>
  <c r="C45" i="1" s="1"/>
  <c r="C46" i="1" s="1"/>
  <c r="D8" i="1" s="1"/>
  <c r="C30" i="7"/>
  <c r="E15" i="5"/>
  <c r="D18" i="5"/>
  <c r="D19" i="5" s="1"/>
  <c r="C34" i="7" l="1"/>
  <c r="E18" i="5"/>
  <c r="E19" i="5" s="1"/>
  <c r="F15" i="5"/>
  <c r="C35" i="7" l="1"/>
  <c r="C37" i="7" s="1"/>
  <c r="F18" i="5"/>
  <c r="F19" i="5" s="1"/>
  <c r="G15" i="5"/>
  <c r="G18" i="5" l="1"/>
  <c r="G19" i="5" s="1"/>
  <c r="H15" i="5"/>
  <c r="I15" i="5" l="1"/>
  <c r="H18" i="5"/>
  <c r="H19" i="5" s="1"/>
  <c r="I18" i="5" l="1"/>
  <c r="I19" i="5" s="1"/>
  <c r="J15" i="5"/>
  <c r="J18" i="5" l="1"/>
  <c r="J19" i="5" s="1"/>
  <c r="K15" i="5"/>
  <c r="L15" i="5" l="1"/>
  <c r="K18" i="5"/>
  <c r="K19" i="5" s="1"/>
  <c r="L18" i="5" l="1"/>
  <c r="L19" i="5" s="1"/>
  <c r="M15" i="5"/>
  <c r="N15" i="5" l="1"/>
  <c r="M18" i="5"/>
  <c r="D14" i="7" l="1"/>
  <c r="M19" i="5"/>
  <c r="D18" i="1"/>
  <c r="D19" i="1" s="1"/>
  <c r="C22" i="5"/>
  <c r="N18" i="5"/>
  <c r="N19" i="5" s="1"/>
  <c r="O19" i="5" l="1"/>
  <c r="C25" i="5"/>
  <c r="C26" i="5" s="1"/>
  <c r="D22" i="5"/>
  <c r="O18" i="5"/>
  <c r="D35" i="1" l="1"/>
  <c r="D40" i="1" s="1"/>
  <c r="D30" i="7"/>
  <c r="E22" i="5"/>
  <c r="D25" i="5"/>
  <c r="D26" i="5" s="1"/>
  <c r="D34" i="7" l="1"/>
  <c r="D35" i="7" s="1"/>
  <c r="D37" i="7" s="1"/>
  <c r="E25" i="5"/>
  <c r="E26" i="5" s="1"/>
  <c r="F22" i="5"/>
  <c r="D45" i="1"/>
  <c r="D46" i="1" s="1"/>
  <c r="E8" i="1" s="1"/>
  <c r="F25" i="5" l="1"/>
  <c r="F26" i="5" s="1"/>
  <c r="G22" i="5"/>
  <c r="H22" i="5" l="1"/>
  <c r="G25" i="5"/>
  <c r="G26" i="5" s="1"/>
  <c r="I22" i="5" l="1"/>
  <c r="H25" i="5"/>
  <c r="H26" i="5" s="1"/>
  <c r="I25" i="5" l="1"/>
  <c r="I26" i="5" s="1"/>
  <c r="J22" i="5"/>
  <c r="J25" i="5" l="1"/>
  <c r="J26" i="5" s="1"/>
  <c r="K22" i="5"/>
  <c r="L22" i="5" l="1"/>
  <c r="K25" i="5"/>
  <c r="K26" i="5" s="1"/>
  <c r="M22" i="5" l="1"/>
  <c r="L25" i="5"/>
  <c r="L26" i="5" s="1"/>
  <c r="M25" i="5" l="1"/>
  <c r="N22" i="5"/>
  <c r="E14" i="7" l="1"/>
  <c r="F13" i="7"/>
  <c r="F14" i="7" s="1"/>
  <c r="M26" i="5"/>
  <c r="E18" i="1"/>
  <c r="N25" i="5"/>
  <c r="N26" i="5" s="1"/>
  <c r="O26" i="5" s="1"/>
  <c r="F18" i="1" l="1"/>
  <c r="F19" i="1" s="1"/>
  <c r="E19" i="1"/>
  <c r="O25" i="5"/>
  <c r="E35" i="1" l="1"/>
  <c r="F35" i="1" s="1"/>
  <c r="E30" i="7"/>
  <c r="E40" i="1" l="1"/>
  <c r="F40" i="1" s="1"/>
  <c r="F45" i="1" s="1"/>
  <c r="E34" i="7"/>
  <c r="F30" i="7"/>
  <c r="E45" i="1" l="1"/>
  <c r="E46" i="1" s="1"/>
  <c r="E35" i="7"/>
  <c r="E37" i="7" s="1"/>
  <c r="F34" i="7"/>
  <c r="F35" i="7" l="1"/>
  <c r="F37" i="7" s="1"/>
  <c r="C15" i="6" l="1"/>
  <c r="C16" i="6" l="1"/>
  <c r="C14" i="6"/>
</calcChain>
</file>

<file path=xl/sharedStrings.xml><?xml version="1.0" encoding="utf-8"?>
<sst xmlns="http://schemas.openxmlformats.org/spreadsheetml/2006/main" count="122" uniqueCount="87">
  <si>
    <t xml:space="preserve"> </t>
  </si>
  <si>
    <t>EVN ISAKOV</t>
  </si>
  <si>
    <t>ԸՆԴՀԱՆՈՒՐ ՄՈՒՏՔԵՐ</t>
  </si>
  <si>
    <t>Շին․ թույլտվություն - հասարակական տարածքներ</t>
  </si>
  <si>
    <t>ԱՊԶ - հասարակական տարածքներ</t>
  </si>
  <si>
    <t>Շին․ թույլտվություն - բնակելի տարածքներ</t>
  </si>
  <si>
    <t>ԱՊԶ  - բնակելի տարածքներ</t>
  </si>
  <si>
    <t>Շինարարության ծախսեր</t>
  </si>
  <si>
    <t>Գազի խողովակների վերաբաշխում</t>
  </si>
  <si>
    <t>ԸՆԴՀԱՆՈՒՐ ԴՐԱՄԱԿԱՆ ՀՈՍՔԵՐԻ ԵԼՔ</t>
  </si>
  <si>
    <t>ԴՐԱՄԱԿԱՆ ՄԻՋՈՑՆԵՐԻ ՄՆԱՑՈՐԴ</t>
  </si>
  <si>
    <t>Գին</t>
  </si>
  <si>
    <t>Չափման միավոր</t>
  </si>
  <si>
    <t>Քանակ</t>
  </si>
  <si>
    <t>քառ․ մետր</t>
  </si>
  <si>
    <t>հատ</t>
  </si>
  <si>
    <t>ԴՐԱՄԻ ՄԻԱՎՈՐ</t>
  </si>
  <si>
    <t>Ընդհանուր ՄՈՒՏՔԵՐ</t>
  </si>
  <si>
    <t>Ընդհանուր ԵԼՔԵՐ</t>
  </si>
  <si>
    <t>ԸՆԴՀԱՆՈՒՐ ԵԼՔԵՐ / ՄՈՒՏՔԵՐ</t>
  </si>
  <si>
    <t>Բնակելի տարածքներ</t>
  </si>
  <si>
    <t>Բնակելի տարածքների ավտոկայանատեղներ</t>
  </si>
  <si>
    <t>Հասարակական տարածքներ</t>
  </si>
  <si>
    <t>Հասարակական տարածքների ավտոկայանատեղիներ</t>
  </si>
  <si>
    <t>Հարկեր (ԱԱՀ, շահութահարկ)</t>
  </si>
  <si>
    <t>ՆԵՐԴՐՈՒՄՆԵՐ</t>
  </si>
  <si>
    <t>ՆԵՐԴՐՈՒՄԱՅԻՆ ԾՐԱԳԻՐ</t>
  </si>
  <si>
    <t>Վարկային միջոցներ</t>
  </si>
  <si>
    <t>Տոկոսներ ավանդից</t>
  </si>
  <si>
    <t>ԴՐԱՄԱԿԱՆ ՄԻՋՈՑՆԵՐԻ ՇԱՐԺ</t>
  </si>
  <si>
    <t>Վարկի տոկոսներ</t>
  </si>
  <si>
    <t>Վարկի մայր գումարի վճարում</t>
  </si>
  <si>
    <t>ՎԱՐԿԻ ԿԱՌԱՎԱՐՈՒՄ</t>
  </si>
  <si>
    <t>Վարկի գումար</t>
  </si>
  <si>
    <t>Վարկի մայր գումարի մնացորդ</t>
  </si>
  <si>
    <t>Վարկի ժամկետ (ամիս)</t>
  </si>
  <si>
    <t>Ստացման ամիս</t>
  </si>
  <si>
    <t>Մայր գումարի վճար</t>
  </si>
  <si>
    <t>Վարկի տարեկան տոկոսադրույք</t>
  </si>
  <si>
    <t>Վճարվող տոկոսներ</t>
  </si>
  <si>
    <t>ԸՆԴՀԱՆՈՒՐ ՄԱՅՐ ԳՈՒՄԱՐ ԵՎ ՏՈԿՈՍՆԵՐ</t>
  </si>
  <si>
    <t>Ավանդի տարեկան տոկոսադրույք</t>
  </si>
  <si>
    <t>ՏԱՐԻ 1</t>
  </si>
  <si>
    <t>ՏԱՐԻ 2</t>
  </si>
  <si>
    <t>ՏԱՐԻ 3</t>
  </si>
  <si>
    <t>Դրամական միջոցների սկզբնական մնացորդ</t>
  </si>
  <si>
    <t>ԱՄԻՍ 1</t>
  </si>
  <si>
    <t>ԱՄԻՍ 2</t>
  </si>
  <si>
    <t>ԱՄԻՍ 3</t>
  </si>
  <si>
    <t>ԱՄԻՍ 4</t>
  </si>
  <si>
    <t>ԱՄԻՍ 5</t>
  </si>
  <si>
    <t>ԱՄԻՍ 6</t>
  </si>
  <si>
    <t>ԱՄԻՍ 7</t>
  </si>
  <si>
    <t>ԱՄԻՍ 8</t>
  </si>
  <si>
    <t>ԱՄԻՍ 9</t>
  </si>
  <si>
    <t>ԱՄԻՍ 10</t>
  </si>
  <si>
    <t>ԱՄԻՍ 11</t>
  </si>
  <si>
    <t>ԱՄԻՍ 12</t>
  </si>
  <si>
    <t>ԵԼՔԵՐ / ՄՈՒՏՔԵՐ</t>
  </si>
  <si>
    <t>Ինքնարժեք</t>
  </si>
  <si>
    <t>ԴՐԱՄԻ ՄՆԱՑՈՐԴ ՏԱՐՎԱ ՍԿԶԲՈՒՄ</t>
  </si>
  <si>
    <t>ԴՐԱՄԻ ՄՈՒՏՔԵՐ</t>
  </si>
  <si>
    <t>ԴՐԱՄԻ ԵԼՔԵՐ</t>
  </si>
  <si>
    <t>ՄԻՋԱՆԿՅԱԼ ՄՈՒՏՔԵՐ</t>
  </si>
  <si>
    <t>ԸՆԴՀԱՆՈՒՐ</t>
  </si>
  <si>
    <t>ԳՈՒՄԱՐ</t>
  </si>
  <si>
    <t xml:space="preserve">Նախագիծ </t>
  </si>
  <si>
    <t>Հողամասի նպատակային նշանակության փոփոխություն</t>
  </si>
  <si>
    <t>Այլ ծախսեր (մարքեթինգ, վարճական, չնախատեսված, այլն)</t>
  </si>
  <si>
    <t>Զուտ շահույթ</t>
  </si>
  <si>
    <t>ՆԵՐԴՐՈՒՄՆԵՐԻ ՖԻՆԱՆՍԱԿԱՆ ՑՈՒՑԱՆԻՇՆԵՐ</t>
  </si>
  <si>
    <t>Ներդրումների եկամտաբերություն (ROI)</t>
  </si>
  <si>
    <t>Մաքուր շահույթի մարժա</t>
  </si>
  <si>
    <t>ՖԻՆԱՆՍԱԿԱՆ ԱՐԴՅՈՒՆՔՆԵՐԻ ՀԱՇՎԵՏՎՈՒԹՅՈՒՆ</t>
  </si>
  <si>
    <t>ՀԱՄԱԽԱՌՆ ԵԿԱՄՈՒՏ</t>
  </si>
  <si>
    <t>ԸՆԴՀԱՆՈՒՐ ՀԱՄԱԽԱՌՆ ԵԿԱՄՈՒՏ</t>
  </si>
  <si>
    <t>ԾԱԽՍԵՐ</t>
  </si>
  <si>
    <t>ԸՆԴՀԱՆՈՒՐ ԾԱԽՍԵՐ</t>
  </si>
  <si>
    <t>ԶՈՒՏ ՇԱՀՈՒՅԹ</t>
  </si>
  <si>
    <t>Շահույթ հարկումից առաջ</t>
  </si>
  <si>
    <t>Ներդրման վերադարձի ժամկետ ՏԱՐԻ</t>
  </si>
  <si>
    <t>ՖԻՆԱՆՍԱԿԱՆ ՑՈՒՑԱՆԻՇՆԵՐ</t>
  </si>
  <si>
    <t>ՆԵՐԴՐՈՒՄՆԵՐ ՏԱՐԱԾՔԻ ԿԱՌՈՒՑԱՊԱՏՄԱՆ ՆՊԱՏԱԿՈՎ</t>
  </si>
  <si>
    <t>Պահանջվող ներդրումներ*</t>
  </si>
  <si>
    <t>*ներդրումների մեջ ներառված չէ հողի գնման արժեքը</t>
  </si>
  <si>
    <t>ՀՀ ԴՐԱՄ</t>
  </si>
  <si>
    <t>Համախառն եկամուտ (ներառյալ ԱԱՀ)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</si>
</sst>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mm\ yyyy"/>
    <numFmt numFmtId="165" formatCode="_(* #,##0_);_(* \(#,##0\);_(* &quot;-&quot;??_);_(@_)"/>
    <numFmt numFmtId="166" formatCode="m/d/yy;@"/>
    <numFmt numFmtId="167" formatCode="_(* #,##0.0_);_(* \(#,##0.0\);_(* &quot;-&quot;??_);_(@_)"/>
    <numFmt numFmtId="168" formatCode="0.0"/>
  </numFmts>
  <fonts count="31" x14ac:knownFonts="1">
    <font>
      <sz val="11"/>
      <color theme="1"/>
      <name val="Franklin Gothic Book"/>
      <family val="2"/>
      <scheme val="minor"/>
    </font>
    <font>
      <sz val="10"/>
      <color theme="1"/>
      <name val="Franklin Gothic Book"/>
      <family val="2"/>
      <scheme val="minor"/>
    </font>
    <font>
      <sz val="14"/>
      <color theme="6" tint="-0.499984740745262"/>
      <name val="Franklin Gothic Demi"/>
      <family val="2"/>
    </font>
    <font>
      <sz val="10"/>
      <color theme="6" tint="-0.499984740745262"/>
      <name val="Franklin Gothic Book"/>
      <family val="2"/>
      <scheme val="minor"/>
    </font>
    <font>
      <sz val="11"/>
      <color theme="1"/>
      <name val="Franklin Gothic Book"/>
      <family val="2"/>
      <scheme val="minor"/>
    </font>
    <font>
      <b/>
      <sz val="10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2"/>
      <color theme="6" tint="-0.499984740745262"/>
      <name val="Franklin Gothic Book"/>
      <family val="2"/>
      <scheme val="minor"/>
    </font>
    <font>
      <sz val="12"/>
      <color theme="3"/>
      <name val="Franklin Gothic Book"/>
      <family val="2"/>
      <scheme val="minor"/>
    </font>
    <font>
      <sz val="8"/>
      <name val="Franklin Gothic Book"/>
      <family val="2"/>
      <scheme val="minor"/>
    </font>
    <font>
      <b/>
      <sz val="12"/>
      <color theme="1"/>
      <name val="Franklin Gothic Book"/>
      <family val="2"/>
      <scheme val="minor"/>
    </font>
    <font>
      <b/>
      <sz val="12"/>
      <color theme="3"/>
      <name val="Franklin Gothic Book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3"/>
      <name val="Calibri"/>
      <family val="2"/>
    </font>
    <font>
      <b/>
      <sz val="14"/>
      <color theme="6" tint="-0.499984740745262"/>
      <name val="Calibri"/>
      <family val="2"/>
    </font>
    <font>
      <b/>
      <sz val="10"/>
      <color theme="1"/>
      <name val="Calibri"/>
      <family val="2"/>
    </font>
    <font>
      <sz val="36"/>
      <color theme="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11"/>
      <color theme="0"/>
      <name val="Calibri"/>
      <family val="2"/>
    </font>
    <font>
      <sz val="12"/>
      <color theme="0"/>
      <name val="Calibri"/>
      <family val="2"/>
    </font>
    <font>
      <b/>
      <sz val="12"/>
      <color theme="1"/>
      <name val="Calibri"/>
      <family val="2"/>
    </font>
    <font>
      <b/>
      <sz val="13"/>
      <color theme="6" tint="-0.499984740745262"/>
      <name val="Calibri"/>
      <family val="2"/>
    </font>
    <font>
      <b/>
      <sz val="13"/>
      <color theme="3"/>
      <name val="Calibri"/>
      <family val="2"/>
    </font>
    <font>
      <b/>
      <sz val="13"/>
      <color theme="1"/>
      <name val="Calibri"/>
      <family val="2"/>
    </font>
    <font>
      <sz val="13"/>
      <color theme="1"/>
      <name val="Calibri"/>
      <family val="2"/>
    </font>
    <font>
      <sz val="13"/>
      <color theme="1"/>
      <name val="Franklin Gothic Book"/>
      <family val="2"/>
      <scheme val="minor"/>
    </font>
    <font>
      <sz val="13"/>
      <color theme="3"/>
      <name val="Franklin Gothic Book"/>
      <family val="2"/>
      <scheme val="minor"/>
    </font>
    <font>
      <sz val="10"/>
      <name val="Franklin Gothic Book"/>
      <family val="2"/>
      <scheme val="minor"/>
    </font>
    <font>
      <sz val="9"/>
      <color theme="1"/>
      <name val="Franklin Gothic Book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26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3" tint="0.79998168889431442"/>
      </left>
      <right style="thin">
        <color theme="3" tint="0.79998168889431442"/>
      </right>
      <top style="thin">
        <color theme="3" tint="0.79998168889431442"/>
      </top>
      <bottom style="thin">
        <color theme="3" tint="0.79998168889431442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3" tint="0.79998168889431442"/>
      </right>
      <top style="thin">
        <color theme="3" tint="0.79998168889431442"/>
      </top>
      <bottom style="thin">
        <color theme="0"/>
      </bottom>
      <diagonal/>
    </border>
    <border>
      <left/>
      <right style="thin">
        <color theme="3" tint="0.79998168889431442"/>
      </right>
      <top style="thin">
        <color theme="0"/>
      </top>
      <bottom style="thin">
        <color theme="0"/>
      </bottom>
      <diagonal/>
    </border>
    <border>
      <left style="thin">
        <color theme="3" tint="0.79998168889431442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3" tint="0.79998168889431442"/>
      </right>
      <top style="thin">
        <color theme="0"/>
      </top>
      <bottom style="thin">
        <color theme="0"/>
      </bottom>
      <diagonal/>
    </border>
    <border>
      <left style="thin">
        <color theme="3" tint="0.79998168889431442"/>
      </left>
      <right style="thin">
        <color theme="0"/>
      </right>
      <top style="thin">
        <color theme="0"/>
      </top>
      <bottom style="thin">
        <color theme="3" tint="0.7999816888943144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3" tint="0.79998168889431442"/>
      </bottom>
      <diagonal/>
    </border>
    <border>
      <left style="thin">
        <color theme="0"/>
      </left>
      <right style="thin">
        <color theme="3" tint="0.79998168889431442"/>
      </right>
      <top style="thin">
        <color theme="0"/>
      </top>
      <bottom style="thin">
        <color theme="3" tint="0.79998168889431442"/>
      </bottom>
      <diagonal/>
    </border>
    <border>
      <left style="thin">
        <color theme="3" tint="0.79998168889431442"/>
      </left>
      <right style="thin">
        <color theme="0"/>
      </right>
      <top/>
      <bottom style="thin">
        <color theme="3" tint="0.79998168889431442"/>
      </bottom>
      <diagonal/>
    </border>
    <border>
      <left style="thin">
        <color theme="0"/>
      </left>
      <right style="thin">
        <color theme="0"/>
      </right>
      <top/>
      <bottom style="thin">
        <color theme="3" tint="0.79998168889431442"/>
      </bottom>
      <diagonal/>
    </border>
    <border>
      <left style="thin">
        <color theme="3" tint="0.79995117038483843"/>
      </left>
      <right style="thin">
        <color theme="3" tint="0.79998168889431442"/>
      </right>
      <top style="thin">
        <color theme="3" tint="0.79995117038483843"/>
      </top>
      <bottom style="thin">
        <color theme="3" tint="0.79998168889431442"/>
      </bottom>
      <diagonal/>
    </border>
    <border>
      <left/>
      <right style="thin">
        <color theme="3" tint="0.79995117038483843"/>
      </right>
      <top style="thin">
        <color theme="3" tint="0.79995117038483843"/>
      </top>
      <bottom style="thin">
        <color theme="0"/>
      </bottom>
      <diagonal/>
    </border>
    <border>
      <left style="thin">
        <color theme="3" tint="0.79995117038483843"/>
      </left>
      <right style="thin">
        <color theme="3" tint="0.79998168889431442"/>
      </right>
      <top style="thin">
        <color theme="3" tint="0.79998168889431442"/>
      </top>
      <bottom style="thin">
        <color theme="3" tint="0.79998168889431442"/>
      </bottom>
      <diagonal/>
    </border>
    <border>
      <left/>
      <right style="thin">
        <color theme="3" tint="0.7999511703848384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3" tint="0.79995117038483843"/>
      </right>
      <top style="thin">
        <color theme="0"/>
      </top>
      <bottom style="thin">
        <color theme="3" tint="0.79995117038483843"/>
      </bottom>
      <diagonal/>
    </border>
    <border>
      <left style="thin">
        <color theme="3" tint="0.79995117038483843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3" tint="0.79995117038483843"/>
      </right>
      <top style="thin">
        <color theme="0"/>
      </top>
      <bottom style="thin">
        <color theme="0"/>
      </bottom>
      <diagonal/>
    </border>
    <border>
      <left style="thin">
        <color theme="3" tint="0.79995117038483843"/>
      </left>
      <right style="thin">
        <color theme="0"/>
      </right>
      <top style="thin">
        <color theme="0"/>
      </top>
      <bottom style="thin">
        <color theme="3" tint="0.79995117038483843"/>
      </bottom>
      <diagonal/>
    </border>
    <border>
      <left/>
      <right/>
      <top/>
      <bottom style="thin">
        <color theme="6" tint="-0.499984740745262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23">
    <xf numFmtId="0" fontId="0" fillId="0" borderId="0" xfId="0"/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vertical="center"/>
    </xf>
    <xf numFmtId="44" fontId="1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44" fontId="1" fillId="0" borderId="2" xfId="0" applyNumberFormat="1" applyFont="1" applyBorder="1" applyAlignment="1">
      <alignment horizontal="center" vertical="center"/>
    </xf>
    <xf numFmtId="44" fontId="1" fillId="2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 indent="2"/>
    </xf>
    <xf numFmtId="44" fontId="1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left" vertical="center" indent="2"/>
    </xf>
    <xf numFmtId="44" fontId="3" fillId="0" borderId="24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left" vertical="center" indent="2"/>
    </xf>
    <xf numFmtId="0" fontId="1" fillId="0" borderId="2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4" xfId="0" applyFont="1" applyBorder="1" applyAlignment="1">
      <alignment horizontal="left" vertical="center"/>
    </xf>
    <xf numFmtId="164" fontId="1" fillId="0" borderId="24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left" vertical="center" indent="1"/>
    </xf>
    <xf numFmtId="165" fontId="1" fillId="0" borderId="0" xfId="0" applyNumberFormat="1" applyFont="1" applyAlignment="1">
      <alignment horizontal="center" vertical="center"/>
    </xf>
    <xf numFmtId="165" fontId="3" fillId="0" borderId="24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5" fontId="1" fillId="2" borderId="25" xfId="1" applyNumberFormat="1" applyFont="1" applyFill="1" applyBorder="1" applyAlignment="1">
      <alignment horizontal="center" vertical="center"/>
    </xf>
    <xf numFmtId="165" fontId="1" fillId="2" borderId="2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 indent="2"/>
    </xf>
    <xf numFmtId="44" fontId="3" fillId="0" borderId="0" xfId="0" applyNumberFormat="1" applyFont="1" applyAlignment="1">
      <alignment horizontal="center" vertical="center"/>
    </xf>
    <xf numFmtId="43" fontId="1" fillId="0" borderId="0" xfId="0" applyNumberFormat="1" applyFont="1" applyAlignment="1">
      <alignment vertical="center"/>
    </xf>
    <xf numFmtId="165" fontId="1" fillId="3" borderId="2" xfId="0" applyNumberFormat="1" applyFont="1" applyFill="1" applyBorder="1" applyAlignment="1">
      <alignment horizontal="center" vertical="center"/>
    </xf>
    <xf numFmtId="166" fontId="1" fillId="2" borderId="25" xfId="0" applyNumberFormat="1" applyFont="1" applyFill="1" applyBorder="1" applyAlignment="1">
      <alignment horizontal="center" vertical="center"/>
    </xf>
    <xf numFmtId="9" fontId="1" fillId="2" borderId="25" xfId="2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indent="2"/>
    </xf>
    <xf numFmtId="44" fontId="6" fillId="0" borderId="0" xfId="0" applyNumberFormat="1" applyFont="1" applyAlignment="1">
      <alignment horizontal="center" vertical="center"/>
    </xf>
    <xf numFmtId="165" fontId="6" fillId="2" borderId="25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24" xfId="0" applyFont="1" applyBorder="1" applyAlignment="1">
      <alignment horizontal="left" vertical="center"/>
    </xf>
    <xf numFmtId="0" fontId="6" fillId="0" borderId="2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165" fontId="6" fillId="0" borderId="0" xfId="0" applyNumberFormat="1" applyFont="1" applyAlignment="1">
      <alignment horizontal="center" vertical="center"/>
    </xf>
    <xf numFmtId="165" fontId="7" fillId="0" borderId="24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165" fontId="6" fillId="2" borderId="2" xfId="0" applyNumberFormat="1" applyFont="1" applyFill="1" applyBorder="1" applyAlignment="1">
      <alignment horizontal="center" vertical="center"/>
    </xf>
    <xf numFmtId="165" fontId="6" fillId="0" borderId="2" xfId="3" applyNumberFormat="1" applyFont="1" applyBorder="1" applyAlignment="1">
      <alignment horizontal="center" vertical="center"/>
    </xf>
    <xf numFmtId="0" fontId="8" fillId="0" borderId="0" xfId="0" applyFont="1" applyAlignment="1">
      <alignment horizontal="right" vertical="center" indent="2"/>
    </xf>
    <xf numFmtId="165" fontId="6" fillId="0" borderId="24" xfId="0" applyNumberFormat="1" applyFont="1" applyBorder="1" applyAlignment="1">
      <alignment horizontal="center" vertical="center"/>
    </xf>
    <xf numFmtId="165" fontId="6" fillId="0" borderId="16" xfId="0" applyNumberFormat="1" applyFont="1" applyBorder="1" applyAlignment="1">
      <alignment horizontal="center" vertical="center"/>
    </xf>
    <xf numFmtId="165" fontId="6" fillId="0" borderId="18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vertical="center"/>
    </xf>
    <xf numFmtId="165" fontId="5" fillId="2" borderId="2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 indent="2"/>
    </xf>
    <xf numFmtId="165" fontId="6" fillId="5" borderId="5" xfId="0" applyNumberFormat="1" applyFont="1" applyFill="1" applyBorder="1" applyAlignment="1">
      <alignment horizontal="center" vertical="center"/>
    </xf>
    <xf numFmtId="165" fontId="6" fillId="5" borderId="6" xfId="0" applyNumberFormat="1" applyFont="1" applyFill="1" applyBorder="1" applyAlignment="1">
      <alignment horizontal="center" vertical="center"/>
    </xf>
    <xf numFmtId="165" fontId="6" fillId="5" borderId="7" xfId="0" applyNumberFormat="1" applyFont="1" applyFill="1" applyBorder="1" applyAlignment="1">
      <alignment horizontal="center" vertical="center"/>
    </xf>
    <xf numFmtId="165" fontId="6" fillId="5" borderId="8" xfId="0" applyNumberFormat="1" applyFont="1" applyFill="1" applyBorder="1" applyAlignment="1">
      <alignment horizontal="center" vertical="center"/>
    </xf>
    <xf numFmtId="165" fontId="10" fillId="5" borderId="10" xfId="0" applyNumberFormat="1" applyFont="1" applyFill="1" applyBorder="1" applyAlignment="1">
      <alignment horizontal="center" vertical="center"/>
    </xf>
    <xf numFmtId="165" fontId="6" fillId="5" borderId="13" xfId="0" applyNumberFormat="1" applyFont="1" applyFill="1" applyBorder="1" applyAlignment="1">
      <alignment horizontal="center" vertical="center"/>
    </xf>
    <xf numFmtId="165" fontId="10" fillId="5" borderId="9" xfId="0" applyNumberFormat="1" applyFont="1" applyFill="1" applyBorder="1" applyAlignment="1">
      <alignment horizontal="center" vertical="center"/>
    </xf>
    <xf numFmtId="165" fontId="6" fillId="5" borderId="11" xfId="0" applyNumberFormat="1" applyFont="1" applyFill="1" applyBorder="1" applyAlignment="1">
      <alignment horizontal="center" vertical="center"/>
    </xf>
    <xf numFmtId="165" fontId="6" fillId="5" borderId="12" xfId="0" applyNumberFormat="1" applyFont="1" applyFill="1" applyBorder="1" applyAlignment="1">
      <alignment horizontal="center" vertical="center"/>
    </xf>
    <xf numFmtId="165" fontId="6" fillId="5" borderId="17" xfId="0" applyNumberFormat="1" applyFont="1" applyFill="1" applyBorder="1" applyAlignment="1">
      <alignment horizontal="center" vertical="center"/>
    </xf>
    <xf numFmtId="165" fontId="6" fillId="5" borderId="19" xfId="0" applyNumberFormat="1" applyFont="1" applyFill="1" applyBorder="1" applyAlignment="1">
      <alignment horizontal="center" vertical="center"/>
    </xf>
    <xf numFmtId="165" fontId="6" fillId="5" borderId="22" xfId="0" applyNumberFormat="1" applyFont="1" applyFill="1" applyBorder="1" applyAlignment="1">
      <alignment horizontal="center" vertical="center"/>
    </xf>
    <xf numFmtId="165" fontId="6" fillId="5" borderId="20" xfId="0" applyNumberFormat="1" applyFont="1" applyFill="1" applyBorder="1" applyAlignment="1">
      <alignment horizontal="center" vertical="center"/>
    </xf>
    <xf numFmtId="165" fontId="6" fillId="5" borderId="21" xfId="0" applyNumberFormat="1" applyFont="1" applyFill="1" applyBorder="1" applyAlignment="1">
      <alignment horizontal="center" vertical="center"/>
    </xf>
    <xf numFmtId="165" fontId="10" fillId="5" borderId="23" xfId="0" applyNumberFormat="1" applyFont="1" applyFill="1" applyBorder="1" applyAlignment="1">
      <alignment horizontal="center" vertical="center"/>
    </xf>
    <xf numFmtId="165" fontId="6" fillId="5" borderId="14" xfId="0" applyNumberFormat="1" applyFont="1" applyFill="1" applyBorder="1" applyAlignment="1">
      <alignment horizontal="center" vertical="center"/>
    </xf>
    <xf numFmtId="165" fontId="6" fillId="5" borderId="15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left" vertical="center" indent="2"/>
    </xf>
    <xf numFmtId="44" fontId="1" fillId="7" borderId="9" xfId="0" applyNumberFormat="1" applyFont="1" applyFill="1" applyBorder="1" applyAlignment="1">
      <alignment horizontal="center" vertical="center"/>
    </xf>
    <xf numFmtId="165" fontId="1" fillId="7" borderId="4" xfId="0" applyNumberFormat="1" applyFont="1" applyFill="1" applyBorder="1" applyAlignment="1">
      <alignment horizontal="center" vertical="center"/>
    </xf>
    <xf numFmtId="165" fontId="1" fillId="7" borderId="3" xfId="0" applyNumberFormat="1" applyFont="1" applyFill="1" applyBorder="1" applyAlignment="1">
      <alignment horizontal="center" vertical="center"/>
    </xf>
    <xf numFmtId="165" fontId="5" fillId="7" borderId="3" xfId="0" applyNumberFormat="1" applyFont="1" applyFill="1" applyBorder="1" applyAlignment="1">
      <alignment horizontal="center" vertical="center"/>
    </xf>
    <xf numFmtId="165" fontId="1" fillId="5" borderId="5" xfId="0" applyNumberFormat="1" applyFont="1" applyFill="1" applyBorder="1" applyAlignment="1">
      <alignment horizontal="center" vertical="center"/>
    </xf>
    <xf numFmtId="165" fontId="1" fillId="5" borderId="6" xfId="0" applyNumberFormat="1" applyFont="1" applyFill="1" applyBorder="1" applyAlignment="1">
      <alignment horizontal="center" vertical="center"/>
    </xf>
    <xf numFmtId="165" fontId="1" fillId="5" borderId="9" xfId="0" applyNumberFormat="1" applyFont="1" applyFill="1" applyBorder="1" applyAlignment="1">
      <alignment horizontal="center" vertical="center"/>
    </xf>
    <xf numFmtId="165" fontId="1" fillId="5" borderId="7" xfId="0" applyNumberFormat="1" applyFont="1" applyFill="1" applyBorder="1" applyAlignment="1">
      <alignment horizontal="center" vertical="center"/>
    </xf>
    <xf numFmtId="165" fontId="1" fillId="7" borderId="7" xfId="0" applyNumberFormat="1" applyFont="1" applyFill="1" applyBorder="1" applyAlignment="1">
      <alignment horizontal="center" vertical="center"/>
    </xf>
    <xf numFmtId="165" fontId="1" fillId="7" borderId="8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right" vertical="center" indent="2"/>
    </xf>
    <xf numFmtId="0" fontId="15" fillId="0" borderId="24" xfId="0" applyFont="1" applyBorder="1" applyAlignment="1">
      <alignment horizontal="left" vertical="center" indent="2"/>
    </xf>
    <xf numFmtId="44" fontId="16" fillId="7" borderId="0" xfId="0" applyNumberFormat="1" applyFont="1" applyFill="1" applyAlignment="1">
      <alignment horizontal="center" vertical="center"/>
    </xf>
    <xf numFmtId="167" fontId="5" fillId="0" borderId="2" xfId="0" applyNumberFormat="1" applyFont="1" applyBorder="1" applyAlignment="1">
      <alignment horizontal="center" vertical="center"/>
    </xf>
    <xf numFmtId="165" fontId="11" fillId="0" borderId="0" xfId="3" applyNumberFormat="1" applyFont="1" applyAlignment="1">
      <alignment horizontal="right" vertical="center" indent="2"/>
    </xf>
    <xf numFmtId="165" fontId="10" fillId="5" borderId="21" xfId="0" applyNumberFormat="1" applyFont="1" applyFill="1" applyBorder="1" applyAlignment="1">
      <alignment horizontal="center" vertical="center"/>
    </xf>
    <xf numFmtId="168" fontId="0" fillId="0" borderId="0" xfId="0" applyNumberFormat="1"/>
    <xf numFmtId="9" fontId="0" fillId="0" borderId="0" xfId="2" applyFont="1"/>
    <xf numFmtId="165" fontId="0" fillId="0" borderId="0" xfId="3" applyNumberFormat="1" applyFont="1"/>
    <xf numFmtId="0" fontId="0" fillId="5" borderId="0" xfId="0" applyFill="1"/>
    <xf numFmtId="0" fontId="18" fillId="0" borderId="0" xfId="0" applyFont="1" applyAlignment="1">
      <alignment horizontal="left" vertical="center" indent="2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indent="2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44" fontId="12" fillId="0" borderId="0" xfId="0" applyNumberFormat="1" applyFont="1" applyAlignment="1">
      <alignment horizontal="center" vertical="center"/>
    </xf>
    <xf numFmtId="14" fontId="20" fillId="6" borderId="4" xfId="0" applyNumberFormat="1" applyFont="1" applyFill="1" applyBorder="1" applyAlignment="1">
      <alignment horizontal="center" vertical="center"/>
    </xf>
    <xf numFmtId="0" fontId="22" fillId="5" borderId="0" xfId="0" applyFont="1" applyFill="1" applyAlignment="1">
      <alignment vertical="center"/>
    </xf>
    <xf numFmtId="0" fontId="22" fillId="5" borderId="0" xfId="0" applyFont="1" applyFill="1"/>
    <xf numFmtId="0" fontId="22" fillId="0" borderId="0" xfId="0" applyFont="1" applyAlignment="1">
      <alignment horizontal="left" vertical="center" indent="2"/>
    </xf>
    <xf numFmtId="0" fontId="23" fillId="0" borderId="24" xfId="0" applyFont="1" applyBorder="1" applyAlignment="1">
      <alignment horizontal="left" vertical="center" indent="2"/>
    </xf>
    <xf numFmtId="14" fontId="23" fillId="5" borderId="4" xfId="0" applyNumberFormat="1" applyFont="1" applyFill="1" applyBorder="1" applyAlignment="1">
      <alignment horizontal="center" vertical="center"/>
    </xf>
    <xf numFmtId="14" fontId="23" fillId="5" borderId="3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right" vertical="center" indent="2"/>
    </xf>
    <xf numFmtId="0" fontId="25" fillId="0" borderId="0" xfId="0" applyFont="1" applyAlignment="1">
      <alignment horizontal="left" vertical="center" indent="2"/>
    </xf>
    <xf numFmtId="0" fontId="26" fillId="0" borderId="0" xfId="0" applyFont="1" applyAlignment="1">
      <alignment horizontal="left" vertical="center" indent="2"/>
    </xf>
    <xf numFmtId="0" fontId="27" fillId="0" borderId="0" xfId="0" applyFont="1" applyAlignment="1">
      <alignment horizontal="left" vertical="center" indent="2"/>
    </xf>
    <xf numFmtId="0" fontId="28" fillId="0" borderId="0" xfId="0" applyFont="1" applyAlignment="1">
      <alignment horizontal="right" vertical="center" indent="2"/>
    </xf>
    <xf numFmtId="0" fontId="18" fillId="0" borderId="0" xfId="0" applyFont="1"/>
    <xf numFmtId="0" fontId="18" fillId="5" borderId="0" xfId="0" applyFont="1" applyFill="1" applyAlignment="1">
      <alignment horizontal="center"/>
    </xf>
    <xf numFmtId="44" fontId="12" fillId="0" borderId="2" xfId="0" applyNumberFormat="1" applyFont="1" applyBorder="1" applyAlignment="1">
      <alignment horizontal="center" vertical="center"/>
    </xf>
    <xf numFmtId="44" fontId="12" fillId="2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165" fontId="29" fillId="0" borderId="2" xfId="0" applyNumberFormat="1" applyFont="1" applyBorder="1" applyAlignment="1">
      <alignment horizontal="center" vertical="center"/>
    </xf>
    <xf numFmtId="13" fontId="1" fillId="0" borderId="0" xfId="0" applyNumberFormat="1" applyFont="1" applyAlignment="1">
      <alignment horizontal="center" vertical="center"/>
    </xf>
    <xf numFmtId="0" fontId="30" fillId="0" borderId="0" xfId="0" applyFont="1"/>
    <xf numFmtId="43" fontId="5" fillId="0" borderId="2" xfId="0" applyNumberFormat="1" applyFont="1" applyBorder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17" fillId="4" borderId="0" xfId="0" applyFont="1" applyFill="1" applyAlignment="1">
      <alignment horizontal="center" vertical="top"/>
    </xf>
    <xf numFmtId="165" fontId="21" fillId="6" borderId="1" xfId="0" applyNumberFormat="1" applyFont="1" applyFill="1" applyBorder="1" applyAlignment="1">
      <alignment horizontal="center" vertical="center"/>
    </xf>
    <xf numFmtId="165" fontId="23" fillId="5" borderId="1" xfId="0" applyNumberFormat="1" applyFont="1" applyFill="1" applyBorder="1" applyAlignment="1">
      <alignment horizontal="center"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Business Templates">
  <a:themeElements>
    <a:clrScheme name="TM0058758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0D497E"/>
      </a:accent1>
      <a:accent2>
        <a:srgbClr val="DFF3F2"/>
      </a:accent2>
      <a:accent3>
        <a:srgbClr val="C0D9F2"/>
      </a:accent3>
      <a:accent4>
        <a:srgbClr val="E63C28"/>
      </a:accent4>
      <a:accent5>
        <a:srgbClr val="8D9CAD"/>
      </a:accent5>
      <a:accent6>
        <a:srgbClr val="D2AC3C"/>
      </a:accent6>
      <a:hlink>
        <a:srgbClr val="0563C1"/>
      </a:hlink>
      <a:folHlink>
        <a:srgbClr val="954F72"/>
      </a:folHlink>
    </a:clrScheme>
    <a:fontScheme name="Custom 22">
      <a:majorFont>
        <a:latin typeface="Franklin Gothic Medium"/>
        <a:ea typeface=""/>
        <a:cs typeface=""/>
      </a:majorFont>
      <a:minorFont>
        <a:latin typeface="Franklin Gothic Book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Dark" id="{D39323B7-B2D6-4C10-818B-A5CD4ACE85BD}" vid="{15FD9199-0511-4D87-8BFB-2FF3F0C5B55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7"/>
  <sheetViews>
    <sheetView showGridLines="0" tabSelected="1" zoomScaleNormal="100" workbookViewId="0">
      <selection activeCell="H26" sqref="H26"/>
    </sheetView>
  </sheetViews>
  <sheetFormatPr defaultColWidth="9" defaultRowHeight="22.15" customHeight="1" x14ac:dyDescent="0.3"/>
  <cols>
    <col min="1" max="1" width="1.77734375" style="2" customWidth="1"/>
    <col min="2" max="2" width="49.5546875" style="8" customWidth="1"/>
    <col min="3" max="3" width="15.44140625" style="3" bestFit="1" customWidth="1"/>
    <col min="4" max="6" width="11.44140625" style="3" customWidth="1"/>
    <col min="7" max="7" width="18" style="3" customWidth="1"/>
    <col min="8" max="8" width="18.88671875" style="3" bestFit="1" customWidth="1"/>
    <col min="9" max="9" width="1.77734375" style="2" customWidth="1"/>
    <col min="10" max="16384" width="9" style="2"/>
  </cols>
  <sheetData>
    <row r="1" spans="1:10" s="7" customFormat="1" ht="46.5" x14ac:dyDescent="0.7">
      <c r="A1" s="2"/>
      <c r="B1" s="119" t="s">
        <v>1</v>
      </c>
      <c r="C1" s="119"/>
      <c r="D1" s="119"/>
      <c r="E1" s="119"/>
      <c r="F1" s="119"/>
      <c r="G1" s="119"/>
      <c r="H1" s="119"/>
    </row>
    <row r="2" spans="1:10" ht="46.5" x14ac:dyDescent="0.7">
      <c r="B2" s="120" t="s">
        <v>26</v>
      </c>
      <c r="C2" s="119"/>
      <c r="D2" s="119"/>
      <c r="E2" s="119"/>
      <c r="F2" s="119"/>
      <c r="G2" s="119"/>
      <c r="H2" s="119"/>
      <c r="I2" s="2" t="s">
        <v>0</v>
      </c>
    </row>
    <row r="3" spans="1:10" ht="21" customHeight="1" x14ac:dyDescent="0.3">
      <c r="B3" s="90" t="s">
        <v>16</v>
      </c>
      <c r="C3" s="90" t="s">
        <v>85</v>
      </c>
    </row>
    <row r="4" spans="1:10" ht="22.15" customHeight="1" x14ac:dyDescent="0.3">
      <c r="B4" s="81" t="s">
        <v>58</v>
      </c>
      <c r="C4" s="11"/>
      <c r="D4" s="11"/>
      <c r="E4" s="11"/>
      <c r="F4" s="11"/>
      <c r="G4" s="11"/>
      <c r="H4" s="11"/>
    </row>
    <row r="5" spans="1:10" ht="22.15" customHeight="1" x14ac:dyDescent="0.3">
      <c r="B5" s="24"/>
      <c r="C5" s="25"/>
      <c r="D5" s="25"/>
      <c r="E5" s="25"/>
      <c r="F5" s="25"/>
      <c r="G5" s="25"/>
      <c r="H5" s="25"/>
    </row>
    <row r="6" spans="1:10" ht="19.899999999999999" customHeight="1" x14ac:dyDescent="0.3">
      <c r="B6" s="67"/>
      <c r="C6" s="82" t="s">
        <v>12</v>
      </c>
      <c r="D6" s="82" t="s">
        <v>13</v>
      </c>
      <c r="E6" s="82" t="s">
        <v>59</v>
      </c>
      <c r="F6" s="82" t="s">
        <v>11</v>
      </c>
      <c r="G6" s="82" t="s">
        <v>18</v>
      </c>
      <c r="H6" s="82" t="s">
        <v>17</v>
      </c>
    </row>
    <row r="7" spans="1:10" ht="22.15" customHeight="1" x14ac:dyDescent="0.3">
      <c r="B7" s="91" t="s">
        <v>20</v>
      </c>
      <c r="C7" s="112" t="s">
        <v>14</v>
      </c>
      <c r="D7" s="118">
        <v>43997.36</v>
      </c>
      <c r="E7" s="20">
        <f>700*400</f>
        <v>280000</v>
      </c>
      <c r="F7" s="20">
        <v>825000</v>
      </c>
      <c r="G7" s="20">
        <f>+D7*E7</f>
        <v>12319260800</v>
      </c>
      <c r="H7" s="20">
        <f>+D7*F7</f>
        <v>36297822000</v>
      </c>
    </row>
    <row r="8" spans="1:10" ht="22.15" customHeight="1" x14ac:dyDescent="0.3">
      <c r="B8" s="91" t="s">
        <v>21</v>
      </c>
      <c r="C8" s="113" t="s">
        <v>15</v>
      </c>
      <c r="D8" s="48">
        <v>566</v>
      </c>
      <c r="E8" s="21">
        <v>3000000</v>
      </c>
      <c r="F8" s="21">
        <v>6000000</v>
      </c>
      <c r="G8" s="21">
        <f>+D8*E8</f>
        <v>1698000000</v>
      </c>
      <c r="H8" s="21">
        <f>+D8*F8</f>
        <v>3396000000</v>
      </c>
      <c r="J8" s="26"/>
    </row>
    <row r="9" spans="1:10" ht="22.15" customHeight="1" x14ac:dyDescent="0.3">
      <c r="B9" s="91" t="s">
        <v>22</v>
      </c>
      <c r="C9" s="112" t="s">
        <v>14</v>
      </c>
      <c r="D9" s="83">
        <v>20742.8</v>
      </c>
      <c r="E9" s="20">
        <f>+E7</f>
        <v>280000</v>
      </c>
      <c r="F9" s="20">
        <f>+F7</f>
        <v>825000</v>
      </c>
      <c r="G9" s="20">
        <f>+D9*E9</f>
        <v>5807984000</v>
      </c>
      <c r="H9" s="20">
        <f>+D9*F9</f>
        <v>17112810000</v>
      </c>
      <c r="J9" s="26"/>
    </row>
    <row r="10" spans="1:10" ht="22.15" customHeight="1" x14ac:dyDescent="0.3">
      <c r="B10" s="91" t="s">
        <v>23</v>
      </c>
      <c r="C10" s="113" t="s">
        <v>15</v>
      </c>
      <c r="D10" s="48">
        <v>74</v>
      </c>
      <c r="E10" s="21">
        <f>+E8</f>
        <v>3000000</v>
      </c>
      <c r="F10" s="21">
        <f>+F8</f>
        <v>6000000</v>
      </c>
      <c r="G10" s="21">
        <f>+D10*E10</f>
        <v>222000000</v>
      </c>
      <c r="H10" s="21">
        <f>+D10*F10</f>
        <v>444000000</v>
      </c>
    </row>
    <row r="11" spans="1:10" ht="22.15" customHeight="1" x14ac:dyDescent="0.3">
      <c r="C11" s="5"/>
      <c r="D11" s="20"/>
      <c r="E11" s="20"/>
      <c r="F11" s="20"/>
      <c r="G11" s="20"/>
      <c r="H11" s="20"/>
    </row>
    <row r="12" spans="1:10" ht="22.15" customHeight="1" x14ac:dyDescent="0.3">
      <c r="B12" s="81" t="s">
        <v>25</v>
      </c>
      <c r="C12" s="6"/>
      <c r="D12" s="21"/>
      <c r="E12" s="21"/>
      <c r="F12" s="21"/>
      <c r="G12" s="21"/>
      <c r="H12" s="21"/>
    </row>
    <row r="13" spans="1:10" ht="22.15" customHeight="1" x14ac:dyDescent="0.3">
      <c r="C13" s="5"/>
      <c r="D13" s="20"/>
      <c r="E13" s="20"/>
      <c r="F13" s="20"/>
      <c r="G13" s="20">
        <v>0</v>
      </c>
      <c r="H13" s="20"/>
    </row>
    <row r="14" spans="1:10" ht="22.15" customHeight="1" x14ac:dyDescent="0.3">
      <c r="B14" s="91" t="s">
        <v>5</v>
      </c>
      <c r="C14" s="6"/>
      <c r="D14" s="21"/>
      <c r="E14" s="21"/>
      <c r="F14" s="21"/>
      <c r="G14" s="114">
        <v>648000000</v>
      </c>
      <c r="H14" s="21"/>
    </row>
    <row r="15" spans="1:10" ht="22.15" customHeight="1" x14ac:dyDescent="0.3">
      <c r="B15" s="91" t="s">
        <v>6</v>
      </c>
      <c r="C15" s="5"/>
      <c r="D15" s="20"/>
      <c r="E15" s="20"/>
      <c r="F15" s="20"/>
      <c r="G15" s="115">
        <v>324000000</v>
      </c>
      <c r="H15" s="20"/>
    </row>
    <row r="16" spans="1:10" ht="22.15" customHeight="1" x14ac:dyDescent="0.3">
      <c r="B16" s="91" t="s">
        <v>3</v>
      </c>
      <c r="C16" s="6"/>
      <c r="D16" s="21"/>
      <c r="E16" s="21"/>
      <c r="F16" s="21"/>
      <c r="G16" s="21">
        <v>216000000</v>
      </c>
      <c r="H16" s="21"/>
    </row>
    <row r="17" spans="2:8" ht="22.15" customHeight="1" x14ac:dyDescent="0.3">
      <c r="B17" s="91" t="s">
        <v>4</v>
      </c>
      <c r="C17" s="5"/>
      <c r="D17" s="20"/>
      <c r="E17" s="20"/>
      <c r="F17" s="20"/>
      <c r="G17" s="20">
        <v>108000000</v>
      </c>
      <c r="H17" s="20"/>
    </row>
    <row r="18" spans="2:8" ht="22.15" customHeight="1" x14ac:dyDescent="0.3">
      <c r="B18" s="91" t="s">
        <v>7</v>
      </c>
      <c r="C18" s="6"/>
      <c r="D18" s="21"/>
      <c r="E18" s="21"/>
      <c r="F18" s="21"/>
      <c r="G18" s="21">
        <f>+G7+G8+G9+G10</f>
        <v>20047244800</v>
      </c>
      <c r="H18" s="21"/>
    </row>
    <row r="19" spans="2:8" ht="22.15" customHeight="1" x14ac:dyDescent="0.3">
      <c r="B19" s="91" t="s">
        <v>66</v>
      </c>
      <c r="C19" s="5"/>
      <c r="D19" s="20"/>
      <c r="E19" s="20"/>
      <c r="F19" s="20"/>
      <c r="G19" s="27">
        <f>+(37325.6+20045)*10*400</f>
        <v>229482400</v>
      </c>
      <c r="H19" s="20"/>
    </row>
    <row r="20" spans="2:8" ht="22.15" customHeight="1" x14ac:dyDescent="0.3">
      <c r="B20" s="91" t="s">
        <v>8</v>
      </c>
      <c r="C20" s="6"/>
      <c r="D20" s="21"/>
      <c r="E20" s="21"/>
      <c r="F20" s="21"/>
      <c r="G20" s="21">
        <v>5000000</v>
      </c>
      <c r="H20" s="21"/>
    </row>
    <row r="21" spans="2:8" ht="22.15" customHeight="1" x14ac:dyDescent="0.3">
      <c r="B21" s="91" t="s">
        <v>67</v>
      </c>
      <c r="C21" s="5"/>
      <c r="D21" s="20"/>
      <c r="E21" s="20"/>
      <c r="F21" s="20"/>
      <c r="G21" s="20">
        <f>80203651+1472708</f>
        <v>81676359</v>
      </c>
      <c r="H21" s="20"/>
    </row>
    <row r="22" spans="2:8" ht="22.15" customHeight="1" x14ac:dyDescent="0.3">
      <c r="B22" s="91" t="s">
        <v>68</v>
      </c>
      <c r="C22" s="6"/>
      <c r="D22" s="21"/>
      <c r="E22" s="21"/>
      <c r="F22" s="21"/>
      <c r="G22" s="21">
        <f>+G18*0.02</f>
        <v>400944896</v>
      </c>
      <c r="H22" s="21"/>
    </row>
    <row r="23" spans="2:8" ht="22.15" customHeight="1" x14ac:dyDescent="0.3">
      <c r="B23" s="91" t="s">
        <v>24</v>
      </c>
      <c r="C23" s="5"/>
      <c r="D23" s="20"/>
      <c r="E23" s="20"/>
      <c r="F23" s="20"/>
      <c r="G23" s="20">
        <f>+H26/6+(H26*0.38*0.18)-(G14+G15+G16+G17+G18+G19)/6</f>
        <v>9862260695.4666653</v>
      </c>
      <c r="H23" s="20"/>
    </row>
    <row r="24" spans="2:8" ht="22.15" customHeight="1" x14ac:dyDescent="0.3">
      <c r="C24" s="6"/>
      <c r="D24" s="21"/>
      <c r="E24" s="21"/>
      <c r="F24" s="21"/>
      <c r="G24" s="21"/>
      <c r="H24" s="21"/>
    </row>
    <row r="25" spans="2:8" ht="22.15" customHeight="1" x14ac:dyDescent="0.3">
      <c r="C25" s="5"/>
      <c r="D25" s="20"/>
      <c r="E25" s="20"/>
      <c r="F25" s="20"/>
      <c r="G25" s="20"/>
      <c r="H25" s="20"/>
    </row>
    <row r="26" spans="2:8" ht="32.25" customHeight="1" x14ac:dyDescent="0.3">
      <c r="B26" s="80" t="s">
        <v>19</v>
      </c>
      <c r="C26" s="68"/>
      <c r="D26" s="69"/>
      <c r="E26" s="69"/>
      <c r="F26" s="70"/>
      <c r="G26" s="71">
        <f>SUM(G13:G25)</f>
        <v>31922609150.466667</v>
      </c>
      <c r="H26" s="71">
        <f>SUM(H7:H25)</f>
        <v>57250632000</v>
      </c>
    </row>
    <row r="27" spans="2:8" ht="30" customHeight="1" x14ac:dyDescent="0.3"/>
  </sheetData>
  <mergeCells count="2">
    <mergeCell ref="B1:H1"/>
    <mergeCell ref="B2:H2"/>
  </mergeCells>
  <conditionalFormatting sqref="C26:H26">
    <cfRule type="cellIs" dxfId="8" priority="2" operator="lessThan">
      <formula>0</formula>
    </cfRule>
  </conditionalFormatting>
  <dataValidations count="2">
    <dataValidation allowBlank="1" showInputMessage="1" showErrorMessage="1" prompt="Enter the cash receipts items for each month._x000a__x000a_For Returns and allowances, enter the values as positive numbers._x000a_" sqref="B4:B5 B12" xr:uid="{00000000-0002-0000-0000-000000000000}"/>
    <dataValidation allowBlank="1" showInputMessage="1" showErrorMessage="1" promptTitle="Cash Flow Forecast Template" prompt="Enter your company name in cell B1, starting cash on hand in cell C4, starting date in cell F4, and a cash minimum balance alert in cell J4._x000a__x000a_Enter the values for your Cash Receipts and Cash Paid Out items for each month in the tables below._x000a_" sqref="A1" xr:uid="{00000000-0002-0000-0000-000001000000}"/>
  </dataValidations>
  <printOptions horizontalCentered="1"/>
  <pageMargins left="0.3" right="0.3" top="0.5" bottom="0.5" header="0.3" footer="0.3"/>
  <pageSetup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6"/>
  <sheetViews>
    <sheetView topLeftCell="A7" zoomScale="85" zoomScaleNormal="85" workbookViewId="0">
      <selection activeCell="C4" sqref="C4"/>
    </sheetView>
  </sheetViews>
  <sheetFormatPr defaultColWidth="9" defaultRowHeight="13.5" x14ac:dyDescent="0.3"/>
  <cols>
    <col min="1" max="1" width="1.21875" style="2" customWidth="1"/>
    <col min="2" max="2" width="38.109375" style="8" customWidth="1"/>
    <col min="3" max="3" width="12.88671875" style="3" customWidth="1"/>
    <col min="4" max="4" width="13.5546875" style="3" customWidth="1"/>
    <col min="5" max="5" width="13.77734375" style="3" customWidth="1"/>
    <col min="6" max="7" width="12.88671875" style="3" bestFit="1" customWidth="1"/>
    <col min="8" max="8" width="12.77734375" style="3" customWidth="1"/>
    <col min="9" max="10" width="12.88671875" style="3" bestFit="1" customWidth="1"/>
    <col min="11" max="11" width="13.6640625" style="3" customWidth="1"/>
    <col min="12" max="12" width="13.21875" style="3" customWidth="1"/>
    <col min="13" max="14" width="12.88671875" style="3" bestFit="1" customWidth="1"/>
    <col min="15" max="15" width="12.77734375" style="3" customWidth="1"/>
    <col min="16" max="16" width="1.77734375" style="2" customWidth="1"/>
    <col min="17" max="16384" width="9" style="2"/>
  </cols>
  <sheetData>
    <row r="1" spans="1:16" s="7" customFormat="1" ht="46.5" x14ac:dyDescent="0.7">
      <c r="A1" s="2"/>
      <c r="B1" s="119" t="s">
        <v>1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</row>
    <row r="2" spans="1:16" ht="46.5" x14ac:dyDescent="0.7">
      <c r="B2" s="120" t="s">
        <v>32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2" t="s">
        <v>0</v>
      </c>
    </row>
    <row r="3" spans="1:16" ht="21" customHeight="1" x14ac:dyDescent="0.3">
      <c r="B3" s="90" t="s">
        <v>16</v>
      </c>
      <c r="C3" s="90" t="s">
        <v>85</v>
      </c>
    </row>
    <row r="4" spans="1:16" ht="32.25" customHeight="1" x14ac:dyDescent="0.3">
      <c r="B4" s="90" t="s">
        <v>33</v>
      </c>
      <c r="C4" s="22">
        <f>SUM(Investment!G13:G22)</f>
        <v>22060348455</v>
      </c>
      <c r="E4" s="93" t="s">
        <v>36</v>
      </c>
      <c r="F4" s="28">
        <v>45901</v>
      </c>
      <c r="G4" s="14"/>
      <c r="H4" s="94" t="s">
        <v>35</v>
      </c>
      <c r="I4" s="97"/>
      <c r="J4" s="23">
        <v>36</v>
      </c>
      <c r="K4" s="95"/>
      <c r="L4" s="95" t="s">
        <v>38</v>
      </c>
      <c r="M4" s="95"/>
      <c r="N4" s="29">
        <v>0.12</v>
      </c>
      <c r="O4" s="14"/>
    </row>
    <row r="5" spans="1:16" ht="32.25" customHeight="1" x14ac:dyDescent="0.3">
      <c r="B5" s="12"/>
      <c r="C5" s="9"/>
      <c r="D5" s="9"/>
      <c r="E5" s="15"/>
      <c r="F5" s="16"/>
      <c r="G5" s="13"/>
      <c r="H5" s="17"/>
      <c r="I5" s="9"/>
      <c r="J5" s="9"/>
      <c r="K5" s="96"/>
      <c r="L5" s="96" t="s">
        <v>41</v>
      </c>
      <c r="M5" s="96"/>
      <c r="N5" s="29">
        <v>0.11</v>
      </c>
      <c r="O5" s="13"/>
    </row>
    <row r="6" spans="1:16" ht="22.15" customHeight="1" x14ac:dyDescent="0.3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6" s="4" customFormat="1" ht="32.25" customHeight="1" x14ac:dyDescent="0.3">
      <c r="B7" s="81" t="s">
        <v>42</v>
      </c>
      <c r="C7" s="98" t="s">
        <v>46</v>
      </c>
      <c r="D7" s="98" t="s">
        <v>47</v>
      </c>
      <c r="E7" s="98" t="s">
        <v>48</v>
      </c>
      <c r="F7" s="98" t="s">
        <v>49</v>
      </c>
      <c r="G7" s="98" t="s">
        <v>50</v>
      </c>
      <c r="H7" s="98" t="s">
        <v>51</v>
      </c>
      <c r="I7" s="98" t="s">
        <v>52</v>
      </c>
      <c r="J7" s="98" t="s">
        <v>53</v>
      </c>
      <c r="K7" s="98" t="s">
        <v>54</v>
      </c>
      <c r="L7" s="98" t="s">
        <v>55</v>
      </c>
      <c r="M7" s="98" t="s">
        <v>56</v>
      </c>
      <c r="N7" s="98" t="s">
        <v>57</v>
      </c>
      <c r="O7" s="121" t="s">
        <v>65</v>
      </c>
    </row>
    <row r="8" spans="1:16" ht="32.25" customHeight="1" x14ac:dyDescent="0.3">
      <c r="B8" s="90" t="s">
        <v>34</v>
      </c>
      <c r="C8" s="72">
        <f>C4</f>
        <v>22060348455</v>
      </c>
      <c r="D8" s="73">
        <f t="shared" ref="D8:N8" si="0">+C8-C10</f>
        <v>21447560997.916668</v>
      </c>
      <c r="E8" s="73">
        <f t="shared" si="0"/>
        <v>20834773540.833336</v>
      </c>
      <c r="F8" s="73">
        <f t="shared" si="0"/>
        <v>20221986083.750004</v>
      </c>
      <c r="G8" s="73">
        <f t="shared" si="0"/>
        <v>19609198626.666672</v>
      </c>
      <c r="H8" s="73">
        <f t="shared" si="0"/>
        <v>18996411169.58334</v>
      </c>
      <c r="I8" s="73">
        <f t="shared" si="0"/>
        <v>18383623712.500008</v>
      </c>
      <c r="J8" s="73">
        <f t="shared" si="0"/>
        <v>17770836255.416676</v>
      </c>
      <c r="K8" s="73">
        <f t="shared" si="0"/>
        <v>17158048798.333342</v>
      </c>
      <c r="L8" s="73">
        <f t="shared" si="0"/>
        <v>16545261341.250008</v>
      </c>
      <c r="M8" s="73">
        <f t="shared" si="0"/>
        <v>15932473884.166674</v>
      </c>
      <c r="N8" s="73">
        <f t="shared" si="0"/>
        <v>15319686427.08334</v>
      </c>
      <c r="O8" s="121"/>
    </row>
    <row r="9" spans="1:16" ht="30" customHeight="1" x14ac:dyDescent="0.3">
      <c r="B9" s="92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6" ht="22.15" customHeight="1" x14ac:dyDescent="0.3">
      <c r="B10" s="90" t="s">
        <v>37</v>
      </c>
      <c r="C10" s="20">
        <f>C8/J4</f>
        <v>612787457.08333337</v>
      </c>
      <c r="D10" s="20">
        <f>+C10</f>
        <v>612787457.08333337</v>
      </c>
      <c r="E10" s="20">
        <f t="shared" ref="E10:N10" si="1">+D10</f>
        <v>612787457.08333337</v>
      </c>
      <c r="F10" s="20">
        <f t="shared" si="1"/>
        <v>612787457.08333337</v>
      </c>
      <c r="G10" s="20">
        <f t="shared" si="1"/>
        <v>612787457.08333337</v>
      </c>
      <c r="H10" s="20">
        <f t="shared" si="1"/>
        <v>612787457.08333337</v>
      </c>
      <c r="I10" s="20">
        <f t="shared" si="1"/>
        <v>612787457.08333337</v>
      </c>
      <c r="J10" s="20">
        <f t="shared" si="1"/>
        <v>612787457.08333337</v>
      </c>
      <c r="K10" s="20">
        <f t="shared" si="1"/>
        <v>612787457.08333337</v>
      </c>
      <c r="L10" s="20">
        <f t="shared" si="1"/>
        <v>612787457.08333337</v>
      </c>
      <c r="M10" s="20">
        <f t="shared" si="1"/>
        <v>612787457.08333337</v>
      </c>
      <c r="N10" s="20">
        <f t="shared" si="1"/>
        <v>612787457.08333337</v>
      </c>
      <c r="O10" s="76">
        <f t="shared" ref="O10:O12" si="2">SUM(C10:N10)</f>
        <v>7353449484.999999</v>
      </c>
    </row>
    <row r="11" spans="1:16" ht="22.15" customHeight="1" x14ac:dyDescent="0.3">
      <c r="B11" s="90" t="s">
        <v>39</v>
      </c>
      <c r="C11" s="21">
        <f t="shared" ref="C11:N11" si="3">+C8*$N$4/12</f>
        <v>220603484.54999998</v>
      </c>
      <c r="D11" s="21">
        <f t="shared" si="3"/>
        <v>214475609.97916666</v>
      </c>
      <c r="E11" s="21">
        <f t="shared" si="3"/>
        <v>208347735.40833333</v>
      </c>
      <c r="F11" s="21">
        <f t="shared" si="3"/>
        <v>202219860.83750001</v>
      </c>
      <c r="G11" s="21">
        <f t="shared" si="3"/>
        <v>196091986.26666668</v>
      </c>
      <c r="H11" s="21">
        <f t="shared" si="3"/>
        <v>189964111.69583341</v>
      </c>
      <c r="I11" s="21">
        <f t="shared" si="3"/>
        <v>183836237.12500009</v>
      </c>
      <c r="J11" s="21">
        <f t="shared" si="3"/>
        <v>177708362.55416676</v>
      </c>
      <c r="K11" s="21">
        <f t="shared" si="3"/>
        <v>171580487.98333341</v>
      </c>
      <c r="L11" s="21">
        <f t="shared" si="3"/>
        <v>165452613.41250005</v>
      </c>
      <c r="M11" s="21">
        <f t="shared" si="3"/>
        <v>159324738.84166673</v>
      </c>
      <c r="N11" s="21">
        <f t="shared" si="3"/>
        <v>153196864.2708334</v>
      </c>
      <c r="O11" s="76">
        <f t="shared" si="2"/>
        <v>2242802092.9250002</v>
      </c>
    </row>
    <row r="12" spans="1:16" ht="32.25" customHeight="1" x14ac:dyDescent="0.3">
      <c r="B12" s="80" t="s">
        <v>40</v>
      </c>
      <c r="C12" s="74">
        <f>+C10+C11</f>
        <v>833390941.63333333</v>
      </c>
      <c r="D12" s="74">
        <f t="shared" ref="D12:N12" si="4">+D10+D11</f>
        <v>827263067.0625</v>
      </c>
      <c r="E12" s="74">
        <f t="shared" si="4"/>
        <v>821135192.49166667</v>
      </c>
      <c r="F12" s="74">
        <f t="shared" si="4"/>
        <v>815007317.92083335</v>
      </c>
      <c r="G12" s="74">
        <f t="shared" si="4"/>
        <v>808879443.35000002</v>
      </c>
      <c r="H12" s="74">
        <f t="shared" si="4"/>
        <v>802751568.77916682</v>
      </c>
      <c r="I12" s="74">
        <f t="shared" si="4"/>
        <v>796623694.20833349</v>
      </c>
      <c r="J12" s="74">
        <f t="shared" si="4"/>
        <v>790495819.63750017</v>
      </c>
      <c r="K12" s="74">
        <f t="shared" si="4"/>
        <v>784367945.06666684</v>
      </c>
      <c r="L12" s="74">
        <f t="shared" si="4"/>
        <v>778240070.4958334</v>
      </c>
      <c r="M12" s="74">
        <f t="shared" si="4"/>
        <v>772112195.92500007</v>
      </c>
      <c r="N12" s="74">
        <f t="shared" si="4"/>
        <v>765984321.35416675</v>
      </c>
      <c r="O12" s="76">
        <f t="shared" si="2"/>
        <v>9596251577.9249992</v>
      </c>
    </row>
    <row r="13" spans="1:16" ht="22.15" customHeight="1" x14ac:dyDescent="0.3">
      <c r="B13" s="92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77">
        <f t="shared" ref="O13:O20" si="5">SUM(C13:N13)</f>
        <v>0</v>
      </c>
    </row>
    <row r="14" spans="1:16" s="4" customFormat="1" ht="32.25" customHeight="1" x14ac:dyDescent="0.3">
      <c r="B14" s="81" t="s">
        <v>43</v>
      </c>
      <c r="C14" s="98" t="str">
        <f>+C7</f>
        <v>ԱՄԻՍ 1</v>
      </c>
      <c r="D14" s="98" t="str">
        <f t="shared" ref="D14:N14" si="6">+D7</f>
        <v>ԱՄԻՍ 2</v>
      </c>
      <c r="E14" s="98" t="str">
        <f t="shared" si="6"/>
        <v>ԱՄԻՍ 3</v>
      </c>
      <c r="F14" s="98" t="str">
        <f t="shared" si="6"/>
        <v>ԱՄԻՍ 4</v>
      </c>
      <c r="G14" s="98" t="str">
        <f t="shared" si="6"/>
        <v>ԱՄԻՍ 5</v>
      </c>
      <c r="H14" s="98" t="str">
        <f t="shared" si="6"/>
        <v>ԱՄԻՍ 6</v>
      </c>
      <c r="I14" s="98" t="str">
        <f t="shared" si="6"/>
        <v>ԱՄԻՍ 7</v>
      </c>
      <c r="J14" s="98" t="str">
        <f t="shared" si="6"/>
        <v>ԱՄԻՍ 8</v>
      </c>
      <c r="K14" s="98" t="str">
        <f t="shared" si="6"/>
        <v>ԱՄԻՍ 9</v>
      </c>
      <c r="L14" s="98" t="str">
        <f t="shared" si="6"/>
        <v>ԱՄԻՍ 10</v>
      </c>
      <c r="M14" s="98" t="str">
        <f t="shared" si="6"/>
        <v>ԱՄԻՍ 11</v>
      </c>
      <c r="N14" s="98" t="str">
        <f t="shared" si="6"/>
        <v>ԱՄԻՍ 12</v>
      </c>
      <c r="O14" s="121" t="s">
        <v>65</v>
      </c>
    </row>
    <row r="15" spans="1:16" ht="32.25" customHeight="1" x14ac:dyDescent="0.3">
      <c r="B15" s="90" t="s">
        <v>34</v>
      </c>
      <c r="C15" s="72">
        <f>+N8-N10</f>
        <v>14706898970.000006</v>
      </c>
      <c r="D15" s="73">
        <f t="shared" ref="D15:N15" si="7">+C15-C17</f>
        <v>14094111512.916672</v>
      </c>
      <c r="E15" s="73">
        <f t="shared" si="7"/>
        <v>13481324055.833338</v>
      </c>
      <c r="F15" s="73">
        <f t="shared" si="7"/>
        <v>12868536598.750004</v>
      </c>
      <c r="G15" s="73">
        <f t="shared" si="7"/>
        <v>12255749141.66667</v>
      </c>
      <c r="H15" s="73">
        <f t="shared" si="7"/>
        <v>11642961684.583336</v>
      </c>
      <c r="I15" s="73">
        <f t="shared" si="7"/>
        <v>11030174227.500002</v>
      </c>
      <c r="J15" s="73">
        <f t="shared" si="7"/>
        <v>10417386770.416668</v>
      </c>
      <c r="K15" s="73">
        <f t="shared" si="7"/>
        <v>9804599313.333334</v>
      </c>
      <c r="L15" s="73">
        <f t="shared" si="7"/>
        <v>9191811856.25</v>
      </c>
      <c r="M15" s="73">
        <f t="shared" si="7"/>
        <v>8579024399.166667</v>
      </c>
      <c r="N15" s="73">
        <f t="shared" si="7"/>
        <v>7966236942.083334</v>
      </c>
      <c r="O15" s="121"/>
    </row>
    <row r="16" spans="1:16" ht="30" customHeight="1" x14ac:dyDescent="0.3">
      <c r="B16" s="92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2:15" ht="22.15" customHeight="1" x14ac:dyDescent="0.3">
      <c r="B17" s="90" t="s">
        <v>37</v>
      </c>
      <c r="C17" s="20">
        <f>+C10</f>
        <v>612787457.08333337</v>
      </c>
      <c r="D17" s="20">
        <f>+C17</f>
        <v>612787457.08333337</v>
      </c>
      <c r="E17" s="20">
        <f t="shared" ref="E17" si="8">+D17</f>
        <v>612787457.08333337</v>
      </c>
      <c r="F17" s="20">
        <f t="shared" ref="F17" si="9">+E17</f>
        <v>612787457.08333337</v>
      </c>
      <c r="G17" s="20">
        <f t="shared" ref="G17" si="10">+F17</f>
        <v>612787457.08333337</v>
      </c>
      <c r="H17" s="20">
        <f t="shared" ref="H17" si="11">+G17</f>
        <v>612787457.08333337</v>
      </c>
      <c r="I17" s="20">
        <f t="shared" ref="I17" si="12">+H17</f>
        <v>612787457.08333337</v>
      </c>
      <c r="J17" s="20">
        <f t="shared" ref="J17" si="13">+I17</f>
        <v>612787457.08333337</v>
      </c>
      <c r="K17" s="20">
        <f t="shared" ref="K17" si="14">+J17</f>
        <v>612787457.08333337</v>
      </c>
      <c r="L17" s="20">
        <f t="shared" ref="L17" si="15">+K17</f>
        <v>612787457.08333337</v>
      </c>
      <c r="M17" s="20">
        <f t="shared" ref="M17" si="16">+L17</f>
        <v>612787457.08333337</v>
      </c>
      <c r="N17" s="20">
        <f t="shared" ref="N17" si="17">+M17</f>
        <v>612787457.08333337</v>
      </c>
      <c r="O17" s="76">
        <f t="shared" ref="O17:O19" si="18">SUM(C17:N17)</f>
        <v>7353449484.999999</v>
      </c>
    </row>
    <row r="18" spans="2:15" ht="22.15" customHeight="1" x14ac:dyDescent="0.3">
      <c r="B18" s="90" t="s">
        <v>39</v>
      </c>
      <c r="C18" s="21">
        <f t="shared" ref="C18:N18" si="19">+C15*$N$4/12</f>
        <v>147068989.70000005</v>
      </c>
      <c r="D18" s="21">
        <f t="shared" si="19"/>
        <v>140941115.12916669</v>
      </c>
      <c r="E18" s="21">
        <f t="shared" si="19"/>
        <v>134813240.55833337</v>
      </c>
      <c r="F18" s="21">
        <f t="shared" si="19"/>
        <v>128685365.98750003</v>
      </c>
      <c r="G18" s="21">
        <f t="shared" si="19"/>
        <v>122557491.41666669</v>
      </c>
      <c r="H18" s="21">
        <f t="shared" si="19"/>
        <v>116429616.84583336</v>
      </c>
      <c r="I18" s="21">
        <f t="shared" si="19"/>
        <v>110301742.27500002</v>
      </c>
      <c r="J18" s="21">
        <f t="shared" si="19"/>
        <v>104173867.70416667</v>
      </c>
      <c r="K18" s="21">
        <f t="shared" si="19"/>
        <v>98045993.13333334</v>
      </c>
      <c r="L18" s="21">
        <f t="shared" si="19"/>
        <v>91918118.5625</v>
      </c>
      <c r="M18" s="21">
        <f t="shared" si="19"/>
        <v>85790243.99166666</v>
      </c>
      <c r="N18" s="21">
        <f t="shared" si="19"/>
        <v>79662369.420833334</v>
      </c>
      <c r="O18" s="76">
        <f t="shared" si="18"/>
        <v>1360388154.7250001</v>
      </c>
    </row>
    <row r="19" spans="2:15" ht="32.25" customHeight="1" x14ac:dyDescent="0.3">
      <c r="B19" s="80" t="s">
        <v>40</v>
      </c>
      <c r="C19" s="74">
        <f>+C17+C18</f>
        <v>759856446.78333342</v>
      </c>
      <c r="D19" s="74">
        <f t="shared" ref="D19" si="20">+D17+D18</f>
        <v>753728572.2125001</v>
      </c>
      <c r="E19" s="74">
        <f t="shared" ref="E19" si="21">+E17+E18</f>
        <v>747600697.64166677</v>
      </c>
      <c r="F19" s="74">
        <f t="shared" ref="F19" si="22">+F17+F18</f>
        <v>741472823.07083344</v>
      </c>
      <c r="G19" s="74">
        <f t="shared" ref="G19" si="23">+G17+G18</f>
        <v>735344948.5</v>
      </c>
      <c r="H19" s="74">
        <f t="shared" ref="H19" si="24">+H17+H18</f>
        <v>729217073.92916679</v>
      </c>
      <c r="I19" s="74">
        <f t="shared" ref="I19" si="25">+I17+I18</f>
        <v>723089199.35833335</v>
      </c>
      <c r="J19" s="74">
        <f t="shared" ref="J19" si="26">+J17+J18</f>
        <v>716961324.78750002</v>
      </c>
      <c r="K19" s="74">
        <f t="shared" ref="K19" si="27">+K17+K18</f>
        <v>710833450.2166667</v>
      </c>
      <c r="L19" s="74">
        <f t="shared" ref="L19" si="28">+L17+L18</f>
        <v>704705575.64583337</v>
      </c>
      <c r="M19" s="74">
        <f t="shared" ref="M19" si="29">+M17+M18</f>
        <v>698577701.07500005</v>
      </c>
      <c r="N19" s="74">
        <f t="shared" ref="N19" si="30">+N17+N18</f>
        <v>692449826.50416672</v>
      </c>
      <c r="O19" s="76">
        <f t="shared" si="18"/>
        <v>8713837639.7250023</v>
      </c>
    </row>
    <row r="20" spans="2:15" ht="22.15" customHeight="1" x14ac:dyDescent="0.3">
      <c r="B20" s="92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77">
        <f t="shared" si="5"/>
        <v>0</v>
      </c>
    </row>
    <row r="21" spans="2:15" s="4" customFormat="1" ht="32.25" customHeight="1" x14ac:dyDescent="0.3">
      <c r="B21" s="81" t="s">
        <v>44</v>
      </c>
      <c r="C21" s="98" t="str">
        <f>+C14</f>
        <v>ԱՄԻՍ 1</v>
      </c>
      <c r="D21" s="98" t="str">
        <f t="shared" ref="D21:N21" si="31">+D14</f>
        <v>ԱՄԻՍ 2</v>
      </c>
      <c r="E21" s="98" t="str">
        <f t="shared" si="31"/>
        <v>ԱՄԻՍ 3</v>
      </c>
      <c r="F21" s="98" t="str">
        <f t="shared" si="31"/>
        <v>ԱՄԻՍ 4</v>
      </c>
      <c r="G21" s="98" t="str">
        <f t="shared" si="31"/>
        <v>ԱՄԻՍ 5</v>
      </c>
      <c r="H21" s="98" t="str">
        <f t="shared" si="31"/>
        <v>ԱՄԻՍ 6</v>
      </c>
      <c r="I21" s="98" t="str">
        <f t="shared" si="31"/>
        <v>ԱՄԻՍ 7</v>
      </c>
      <c r="J21" s="98" t="str">
        <f t="shared" si="31"/>
        <v>ԱՄԻՍ 8</v>
      </c>
      <c r="K21" s="98" t="str">
        <f t="shared" si="31"/>
        <v>ԱՄԻՍ 9</v>
      </c>
      <c r="L21" s="98" t="str">
        <f t="shared" si="31"/>
        <v>ԱՄԻՍ 10</v>
      </c>
      <c r="M21" s="98" t="str">
        <f t="shared" si="31"/>
        <v>ԱՄԻՍ 11</v>
      </c>
      <c r="N21" s="98" t="str">
        <f t="shared" si="31"/>
        <v>ԱՄԻՍ 12</v>
      </c>
      <c r="O21" s="121" t="s">
        <v>65</v>
      </c>
    </row>
    <row r="22" spans="2:15" ht="32.25" customHeight="1" x14ac:dyDescent="0.3">
      <c r="B22" s="90" t="s">
        <v>34</v>
      </c>
      <c r="C22" s="72">
        <f>+N15-N17</f>
        <v>7353449485.000001</v>
      </c>
      <c r="D22" s="73">
        <f t="shared" ref="D22:N22" si="32">+C22-C24</f>
        <v>6740662027.9166679</v>
      </c>
      <c r="E22" s="73">
        <f t="shared" si="32"/>
        <v>6127874570.8333349</v>
      </c>
      <c r="F22" s="73">
        <f t="shared" si="32"/>
        <v>5515087113.7500019</v>
      </c>
      <c r="G22" s="73">
        <f t="shared" si="32"/>
        <v>4902299656.6666689</v>
      </c>
      <c r="H22" s="73">
        <f t="shared" si="32"/>
        <v>4289512199.5833354</v>
      </c>
      <c r="I22" s="73">
        <f t="shared" si="32"/>
        <v>3676724742.5000019</v>
      </c>
      <c r="J22" s="73">
        <f t="shared" si="32"/>
        <v>3063937285.4166684</v>
      </c>
      <c r="K22" s="73">
        <f t="shared" si="32"/>
        <v>2451149828.3333349</v>
      </c>
      <c r="L22" s="73">
        <f t="shared" si="32"/>
        <v>1838362371.2500014</v>
      </c>
      <c r="M22" s="73">
        <f t="shared" si="32"/>
        <v>1225574914.1666679</v>
      </c>
      <c r="N22" s="73">
        <f t="shared" si="32"/>
        <v>612787457.08333457</v>
      </c>
      <c r="O22" s="121"/>
    </row>
    <row r="23" spans="2:15" ht="30" customHeight="1" x14ac:dyDescent="0.3">
      <c r="B23" s="92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2:15" ht="22.15" customHeight="1" x14ac:dyDescent="0.3">
      <c r="B24" s="90" t="s">
        <v>37</v>
      </c>
      <c r="C24" s="20">
        <f>+C17</f>
        <v>612787457.08333337</v>
      </c>
      <c r="D24" s="20">
        <f>+C24</f>
        <v>612787457.08333337</v>
      </c>
      <c r="E24" s="20">
        <f t="shared" ref="E24" si="33">+D24</f>
        <v>612787457.08333337</v>
      </c>
      <c r="F24" s="20">
        <f t="shared" ref="F24" si="34">+E24</f>
        <v>612787457.08333337</v>
      </c>
      <c r="G24" s="20">
        <f t="shared" ref="G24" si="35">+F24</f>
        <v>612787457.08333337</v>
      </c>
      <c r="H24" s="20">
        <f t="shared" ref="H24" si="36">+G24</f>
        <v>612787457.08333337</v>
      </c>
      <c r="I24" s="20">
        <f t="shared" ref="I24" si="37">+H24</f>
        <v>612787457.08333337</v>
      </c>
      <c r="J24" s="20">
        <f t="shared" ref="J24" si="38">+I24</f>
        <v>612787457.08333337</v>
      </c>
      <c r="K24" s="20">
        <f t="shared" ref="K24" si="39">+J24</f>
        <v>612787457.08333337</v>
      </c>
      <c r="L24" s="20">
        <f t="shared" ref="L24" si="40">+K24</f>
        <v>612787457.08333337</v>
      </c>
      <c r="M24" s="20">
        <f t="shared" ref="M24" si="41">+L24</f>
        <v>612787457.08333337</v>
      </c>
      <c r="N24" s="20">
        <f t="shared" ref="N24" si="42">+M24</f>
        <v>612787457.08333337</v>
      </c>
      <c r="O24" s="75">
        <f t="shared" ref="O24:O26" si="43">SUM(C24:N24)</f>
        <v>7353449484.999999</v>
      </c>
    </row>
    <row r="25" spans="2:15" ht="22.15" customHeight="1" x14ac:dyDescent="0.3">
      <c r="B25" s="90" t="s">
        <v>39</v>
      </c>
      <c r="C25" s="21">
        <f t="shared" ref="C25:N25" si="44">+C22*$N$4/12</f>
        <v>73534494.850000009</v>
      </c>
      <c r="D25" s="21">
        <f t="shared" si="44"/>
        <v>67406620.279166684</v>
      </c>
      <c r="E25" s="21">
        <f t="shared" si="44"/>
        <v>61278745.708333343</v>
      </c>
      <c r="F25" s="21">
        <f t="shared" si="44"/>
        <v>55150871.137500018</v>
      </c>
      <c r="G25" s="21">
        <f t="shared" si="44"/>
        <v>49022996.566666685</v>
      </c>
      <c r="H25" s="21">
        <f t="shared" si="44"/>
        <v>42895121.995833352</v>
      </c>
      <c r="I25" s="21">
        <f t="shared" si="44"/>
        <v>36767247.425000019</v>
      </c>
      <c r="J25" s="21">
        <f t="shared" si="44"/>
        <v>30639372.854166683</v>
      </c>
      <c r="K25" s="21">
        <f t="shared" si="44"/>
        <v>24511498.283333346</v>
      </c>
      <c r="L25" s="21">
        <f t="shared" si="44"/>
        <v>18383623.712500013</v>
      </c>
      <c r="M25" s="21">
        <f t="shared" si="44"/>
        <v>12255749.141666679</v>
      </c>
      <c r="N25" s="21">
        <f t="shared" si="44"/>
        <v>6127874.5708333449</v>
      </c>
      <c r="O25" s="75">
        <f t="shared" si="43"/>
        <v>477974216.52500015</v>
      </c>
    </row>
    <row r="26" spans="2:15" ht="32.25" customHeight="1" x14ac:dyDescent="0.3">
      <c r="B26" s="80" t="s">
        <v>40</v>
      </c>
      <c r="C26" s="74">
        <f>+C24+C25</f>
        <v>686321951.9333334</v>
      </c>
      <c r="D26" s="74">
        <f t="shared" ref="D26" si="45">+D24+D25</f>
        <v>680194077.36250007</v>
      </c>
      <c r="E26" s="74">
        <f t="shared" ref="E26" si="46">+E24+E25</f>
        <v>674066202.79166675</v>
      </c>
      <c r="F26" s="74">
        <f t="shared" ref="F26" si="47">+F24+F25</f>
        <v>667938328.22083342</v>
      </c>
      <c r="G26" s="74">
        <f t="shared" ref="G26" si="48">+G24+G25</f>
        <v>661810453.6500001</v>
      </c>
      <c r="H26" s="74">
        <f t="shared" ref="H26" si="49">+H24+H25</f>
        <v>655682579.07916677</v>
      </c>
      <c r="I26" s="74">
        <f t="shared" ref="I26" si="50">+I24+I25</f>
        <v>649554704.50833344</v>
      </c>
      <c r="J26" s="74">
        <f t="shared" ref="J26" si="51">+J24+J25</f>
        <v>643426829.9375</v>
      </c>
      <c r="K26" s="74">
        <f t="shared" ref="K26" si="52">+K24+K25</f>
        <v>637298955.36666667</v>
      </c>
      <c r="L26" s="74">
        <f t="shared" ref="L26" si="53">+L24+L25</f>
        <v>631171080.79583335</v>
      </c>
      <c r="M26" s="74">
        <f t="shared" ref="M26" si="54">+M24+M25</f>
        <v>625043206.22500002</v>
      </c>
      <c r="N26" s="74">
        <f t="shared" ref="N26" si="55">+N24+N25</f>
        <v>618915331.6541667</v>
      </c>
      <c r="O26" s="75">
        <f t="shared" si="43"/>
        <v>7831423701.5250015</v>
      </c>
    </row>
  </sheetData>
  <mergeCells count="5">
    <mergeCell ref="B1:O1"/>
    <mergeCell ref="B2:O2"/>
    <mergeCell ref="O7:O8"/>
    <mergeCell ref="O14:O15"/>
    <mergeCell ref="O21:O22"/>
  </mergeCells>
  <phoneticPr fontId="9" type="noConversion"/>
  <conditionalFormatting sqref="C8:N8">
    <cfRule type="expression" dxfId="7" priority="17">
      <formula>C8&lt;Cash_Minimum</formula>
    </cfRule>
  </conditionalFormatting>
  <conditionalFormatting sqref="C15:N15">
    <cfRule type="expression" dxfId="6" priority="16">
      <formula>C15&lt;Cash_Minimum</formula>
    </cfRule>
  </conditionalFormatting>
  <conditionalFormatting sqref="C22:N22">
    <cfRule type="expression" dxfId="5" priority="5">
      <formula>C22&lt;Cash_Minimum</formula>
    </cfRule>
  </conditionalFormatting>
  <conditionalFormatting sqref="O10:O13 C12:N12 O17:O20 C19:N19">
    <cfRule type="cellIs" dxfId="4" priority="18" operator="lessThan">
      <formula>0</formula>
    </cfRule>
  </conditionalFormatting>
  <conditionalFormatting sqref="O24:O26 C26:N26">
    <cfRule type="cellIs" dxfId="3" priority="15" operator="lessThan">
      <formula>0</formula>
    </cfRule>
  </conditionalFormatting>
  <dataValidations count="5">
    <dataValidation allowBlank="1" showInputMessage="1" showErrorMessage="1" prompt="Enter the cash receipts items for each month._x000a__x000a_For Returns and allowances, enter the values as positive numbers._x000a_" sqref="B7 B14 B21" xr:uid="{00000000-0002-0000-0100-000000000000}"/>
    <dataValidation allowBlank="1" showInputMessage="1" showErrorMessage="1" prompt="Enter a minimum balance alert. The template will highlight if the cash balance is below the alert minimum value." sqref="J4 N4:N5" xr:uid="{00000000-0002-0000-0100-000001000000}"/>
    <dataValidation allowBlank="1" showInputMessage="1" showErrorMessage="1" prompt="Enter a starting date from when a one-year forecast schedule will begin" sqref="F4" xr:uid="{00000000-0002-0000-0100-000002000000}"/>
    <dataValidation allowBlank="1" showInputMessage="1" showErrorMessage="1" prompt="Enter the starting cash amount during the starting date" sqref="C4" xr:uid="{00000000-0002-0000-0100-000003000000}"/>
    <dataValidation allowBlank="1" showInputMessage="1" showErrorMessage="1" promptTitle="Cash Flow Forecast Template" prompt="Enter your company name in cell B1, starting cash on hand in cell C4, starting date in cell F4, and a cash minimum balance alert in cell J4._x000a__x000a_Enter the values for your Cash Receipts and Cash Paid Out items for each month in the tables below._x000a_" sqref="A1" xr:uid="{00000000-0002-0000-0100-000004000000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49"/>
  <sheetViews>
    <sheetView showGridLines="0" zoomScale="85" zoomScaleNormal="85" workbookViewId="0">
      <selection activeCell="F13" sqref="F13"/>
    </sheetView>
  </sheetViews>
  <sheetFormatPr defaultColWidth="9" defaultRowHeight="22.15" customHeight="1" x14ac:dyDescent="0.3"/>
  <cols>
    <col min="1" max="1" width="1.77734375" style="2" customWidth="1"/>
    <col min="2" max="2" width="50.77734375" style="8" customWidth="1"/>
    <col min="3" max="6" width="38.88671875" style="3" customWidth="1"/>
    <col min="7" max="7" width="1.77734375" style="2" customWidth="1"/>
    <col min="8" max="8" width="12.44140625" style="2" bestFit="1" customWidth="1"/>
    <col min="9" max="16384" width="9" style="2"/>
  </cols>
  <sheetData>
    <row r="1" spans="1:7" s="7" customFormat="1" ht="46.5" x14ac:dyDescent="0.7">
      <c r="A1" s="2"/>
      <c r="B1" s="119" t="s">
        <v>1</v>
      </c>
      <c r="C1" s="119"/>
      <c r="D1" s="119"/>
      <c r="E1" s="119"/>
      <c r="F1" s="119"/>
    </row>
    <row r="2" spans="1:7" ht="46.5" x14ac:dyDescent="0.7">
      <c r="B2" s="120" t="s">
        <v>29</v>
      </c>
      <c r="C2" s="119"/>
      <c r="D2" s="119"/>
      <c r="E2" s="119"/>
      <c r="F2" s="119"/>
      <c r="G2" s="2" t="s">
        <v>0</v>
      </c>
    </row>
    <row r="3" spans="1:7" ht="21" customHeight="1" x14ac:dyDescent="0.3">
      <c r="B3" s="90" t="s">
        <v>16</v>
      </c>
      <c r="C3" s="90" t="s">
        <v>85</v>
      </c>
      <c r="D3" s="31"/>
      <c r="E3" s="31"/>
      <c r="F3" s="31"/>
    </row>
    <row r="4" spans="1:7" ht="32.25" customHeight="1" x14ac:dyDescent="0.3">
      <c r="B4" s="107" t="s">
        <v>45</v>
      </c>
      <c r="C4" s="32">
        <v>10000</v>
      </c>
      <c r="D4" s="31"/>
      <c r="E4" s="33"/>
      <c r="F4" s="34"/>
    </row>
    <row r="5" spans="1:7" ht="32.25" customHeight="1" x14ac:dyDescent="0.3">
      <c r="B5" s="35"/>
      <c r="C5" s="35"/>
      <c r="D5" s="35"/>
      <c r="E5" s="35"/>
      <c r="F5" s="36"/>
    </row>
    <row r="6" spans="1:7" ht="22.15" customHeight="1" x14ac:dyDescent="0.3">
      <c r="A6" s="1"/>
      <c r="B6" s="37"/>
      <c r="C6" s="37"/>
      <c r="D6" s="37"/>
      <c r="E6" s="37"/>
      <c r="F6" s="37"/>
    </row>
    <row r="7" spans="1:7" s="4" customFormat="1" ht="32.25" customHeight="1" x14ac:dyDescent="0.3">
      <c r="B7" s="30"/>
      <c r="C7" s="103" t="s">
        <v>42</v>
      </c>
      <c r="D7" s="104" t="s">
        <v>43</v>
      </c>
      <c r="E7" s="104" t="s">
        <v>44</v>
      </c>
      <c r="F7" s="122" t="s">
        <v>64</v>
      </c>
    </row>
    <row r="8" spans="1:7" ht="32.25" customHeight="1" x14ac:dyDescent="0.3">
      <c r="B8" s="101" t="s">
        <v>60</v>
      </c>
      <c r="C8" s="50">
        <f>C4</f>
        <v>10000</v>
      </c>
      <c r="D8" s="51">
        <f>C46</f>
        <v>29352802107.856255</v>
      </c>
      <c r="E8" s="51">
        <f>D46</f>
        <v>29259209649.655846</v>
      </c>
      <c r="F8" s="122"/>
    </row>
    <row r="9" spans="1:7" ht="30" customHeight="1" x14ac:dyDescent="0.3">
      <c r="B9" s="30"/>
      <c r="C9" s="38"/>
      <c r="D9" s="38"/>
      <c r="E9" s="38"/>
      <c r="F9" s="38"/>
    </row>
    <row r="10" spans="1:7" ht="22.15" customHeight="1" x14ac:dyDescent="0.3">
      <c r="B10" s="102" t="s">
        <v>61</v>
      </c>
      <c r="C10" s="39"/>
      <c r="D10" s="39"/>
      <c r="E10" s="39"/>
      <c r="F10" s="39"/>
    </row>
    <row r="11" spans="1:7" ht="19.899999999999999" customHeight="1" x14ac:dyDescent="0.3">
      <c r="B11" s="30"/>
      <c r="C11" s="38"/>
      <c r="D11" s="38"/>
      <c r="E11" s="38"/>
      <c r="F11" s="38"/>
    </row>
    <row r="12" spans="1:7" ht="22.15" customHeight="1" x14ac:dyDescent="0.3">
      <c r="B12" s="90" t="str">
        <f>+Investment!B7</f>
        <v>Բնակելի տարածքներ</v>
      </c>
      <c r="C12" s="40">
        <f>+Investment!$H$7*0.5</f>
        <v>18148911000</v>
      </c>
      <c r="D12" s="40">
        <f>+Investment!$H$7*0.3</f>
        <v>10889346600</v>
      </c>
      <c r="E12" s="40">
        <f>+Investment!$H$7*0.2</f>
        <v>7259564400</v>
      </c>
      <c r="F12" s="52">
        <f>SUM(C12:E12)</f>
        <v>36297822000</v>
      </c>
    </row>
    <row r="13" spans="1:7" ht="22.15" customHeight="1" x14ac:dyDescent="0.3">
      <c r="B13" s="90" t="str">
        <f>+Investment!B8</f>
        <v>Բնակելի տարածքների ավտոկայանատեղներ</v>
      </c>
      <c r="C13" s="41">
        <f>+Investment!$H$8*0.5</f>
        <v>1698000000</v>
      </c>
      <c r="D13" s="41">
        <f>+Investment!$H$8*0.3</f>
        <v>1018800000</v>
      </c>
      <c r="E13" s="41">
        <f>+Investment!$H$8*0.2</f>
        <v>679200000</v>
      </c>
      <c r="F13" s="53">
        <f t="shared" ref="F12:F18" si="0">SUM(C13:E13)</f>
        <v>3396000000</v>
      </c>
    </row>
    <row r="14" spans="1:7" ht="22.15" customHeight="1" x14ac:dyDescent="0.3">
      <c r="B14" s="90" t="str">
        <f>+Investment!B9</f>
        <v>Հասարակական տարածքներ</v>
      </c>
      <c r="C14" s="40">
        <f>+Investment!$H$9*0.5</f>
        <v>8556405000</v>
      </c>
      <c r="D14" s="40">
        <f>+Investment!$H$9*0.3</f>
        <v>5133843000</v>
      </c>
      <c r="E14" s="40">
        <f>+Investment!$H$9*0.2</f>
        <v>3422562000</v>
      </c>
      <c r="F14" s="53">
        <f t="shared" si="0"/>
        <v>17112810000</v>
      </c>
    </row>
    <row r="15" spans="1:7" ht="22.15" customHeight="1" x14ac:dyDescent="0.3">
      <c r="B15" s="90" t="str">
        <f>+Investment!B10</f>
        <v>Հասարակական տարածքների ավտոկայանատեղիներ</v>
      </c>
      <c r="C15" s="41">
        <f>+Investment!$H$10*0.5</f>
        <v>222000000</v>
      </c>
      <c r="D15" s="41">
        <f>+Investment!$H$10*0.3</f>
        <v>133200000</v>
      </c>
      <c r="E15" s="41">
        <f>+Investment!$H$10*0.2</f>
        <v>88800000</v>
      </c>
      <c r="F15" s="53">
        <f t="shared" si="0"/>
        <v>444000000</v>
      </c>
    </row>
    <row r="16" spans="1:7" ht="22.15" customHeight="1" x14ac:dyDescent="0.3">
      <c r="B16" s="90"/>
      <c r="C16" s="40"/>
      <c r="D16" s="40"/>
      <c r="E16" s="40"/>
      <c r="F16" s="53">
        <f t="shared" si="0"/>
        <v>0</v>
      </c>
    </row>
    <row r="17" spans="2:8" ht="22.15" customHeight="1" x14ac:dyDescent="0.3">
      <c r="B17" s="90" t="s">
        <v>27</v>
      </c>
      <c r="C17" s="41">
        <f>SUM(Investment!G13:G19)</f>
        <v>21572727200</v>
      </c>
      <c r="D17" s="41"/>
      <c r="E17" s="41"/>
      <c r="F17" s="53">
        <f t="shared" si="0"/>
        <v>21572727200</v>
      </c>
    </row>
    <row r="18" spans="2:8" ht="22.15" customHeight="1" x14ac:dyDescent="0.3">
      <c r="B18" s="90" t="s">
        <v>28</v>
      </c>
      <c r="C18" s="42">
        <f>AVERAGE(Credit!$C8:$N8)*Credit!$N$5</f>
        <v>2055901918.5145843</v>
      </c>
      <c r="D18" s="42">
        <f>AVERAGE(Credit!$C15:$N15)*Credit!$N$5</f>
        <v>1247022475.1645837</v>
      </c>
      <c r="E18" s="42">
        <f>AVERAGE(Credit!$C22:$N22)*Credit!$N$5</f>
        <v>438143031.81458354</v>
      </c>
      <c r="F18" s="53">
        <f t="shared" si="0"/>
        <v>3741067425.4937515</v>
      </c>
    </row>
    <row r="19" spans="2:8" ht="32.25" customHeight="1" x14ac:dyDescent="0.3">
      <c r="B19" s="105" t="s">
        <v>2</v>
      </c>
      <c r="C19" s="56">
        <f>SUM(C12:C18)</f>
        <v>52253945118.514587</v>
      </c>
      <c r="D19" s="56">
        <f>SUM(D12:D18)</f>
        <v>18422212075.164585</v>
      </c>
      <c r="E19" s="56">
        <f>SUM(E12:E18)</f>
        <v>11888269431.814583</v>
      </c>
      <c r="F19" s="54">
        <f>SUM(F12:F18)</f>
        <v>82564426625.493744</v>
      </c>
      <c r="H19" s="47"/>
    </row>
    <row r="20" spans="2:8" ht="32.25" customHeight="1" x14ac:dyDescent="0.3">
      <c r="B20" s="43"/>
      <c r="C20" s="57"/>
      <c r="D20" s="58"/>
      <c r="E20" s="58"/>
      <c r="F20" s="55"/>
    </row>
    <row r="21" spans="2:8" ht="30" customHeight="1" x14ac:dyDescent="0.3">
      <c r="B21" s="30"/>
      <c r="C21" s="38"/>
      <c r="D21" s="38"/>
      <c r="E21" s="38"/>
      <c r="F21" s="38"/>
    </row>
    <row r="22" spans="2:8" ht="22.15" customHeight="1" x14ac:dyDescent="0.3">
      <c r="B22" s="102" t="s">
        <v>62</v>
      </c>
      <c r="C22" s="44"/>
      <c r="D22" s="44"/>
      <c r="E22" s="44"/>
      <c r="F22" s="44"/>
    </row>
    <row r="23" spans="2:8" ht="19.899999999999999" customHeight="1" x14ac:dyDescent="0.3">
      <c r="B23" s="30"/>
      <c r="C23" s="38"/>
      <c r="D23" s="38"/>
      <c r="E23" s="38"/>
      <c r="F23" s="38"/>
    </row>
    <row r="24" spans="2:8" ht="22.15" customHeight="1" x14ac:dyDescent="0.3">
      <c r="B24" s="30"/>
      <c r="C24" s="40">
        <f>+Investment!G13</f>
        <v>0</v>
      </c>
      <c r="D24" s="40"/>
      <c r="E24" s="40"/>
      <c r="F24" s="52">
        <f t="shared" ref="F24:F40" si="1">SUM(C24:E24)</f>
        <v>0</v>
      </c>
    </row>
    <row r="25" spans="2:8" ht="22.15" customHeight="1" x14ac:dyDescent="0.3">
      <c r="B25" s="90" t="str">
        <f>+Investment!B14</f>
        <v>Շին․ թույլտվություն - բնակելի տարածքներ</v>
      </c>
      <c r="C25" s="41">
        <f>+Investment!G14</f>
        <v>648000000</v>
      </c>
      <c r="D25" s="41"/>
      <c r="E25" s="41"/>
      <c r="F25" s="53">
        <f t="shared" si="1"/>
        <v>648000000</v>
      </c>
    </row>
    <row r="26" spans="2:8" ht="22.15" customHeight="1" x14ac:dyDescent="0.3">
      <c r="B26" s="90" t="str">
        <f>+Investment!B15</f>
        <v>ԱՊԶ  - բնակելի տարածքներ</v>
      </c>
      <c r="C26" s="40">
        <f>+Investment!G15</f>
        <v>324000000</v>
      </c>
      <c r="D26" s="40"/>
      <c r="E26" s="40"/>
      <c r="F26" s="53">
        <f t="shared" si="1"/>
        <v>324000000</v>
      </c>
    </row>
    <row r="27" spans="2:8" ht="22.15" customHeight="1" x14ac:dyDescent="0.3">
      <c r="B27" s="90" t="str">
        <f>+Investment!B16</f>
        <v>Շին․ թույլտվություն - հասարակական տարածքներ</v>
      </c>
      <c r="C27" s="41">
        <f>+Investment!G16</f>
        <v>216000000</v>
      </c>
      <c r="D27" s="41"/>
      <c r="E27" s="41"/>
      <c r="F27" s="53">
        <f t="shared" si="1"/>
        <v>216000000</v>
      </c>
    </row>
    <row r="28" spans="2:8" ht="22.15" customHeight="1" x14ac:dyDescent="0.3">
      <c r="B28" s="90" t="str">
        <f>+Investment!B17</f>
        <v>ԱՊԶ - հասարակական տարածքներ</v>
      </c>
      <c r="C28" s="40">
        <f>+Investment!G17</f>
        <v>108000000</v>
      </c>
      <c r="D28" s="40"/>
      <c r="E28" s="40"/>
      <c r="F28" s="53">
        <f t="shared" si="1"/>
        <v>108000000</v>
      </c>
    </row>
    <row r="29" spans="2:8" ht="22.15" customHeight="1" x14ac:dyDescent="0.3">
      <c r="B29" s="90" t="str">
        <f>+Investment!B18</f>
        <v>Շինարարության ծախսեր</v>
      </c>
      <c r="C29" s="41">
        <f>+Investment!G18/3</f>
        <v>6682414933.333333</v>
      </c>
      <c r="D29" s="41">
        <f>+C29</f>
        <v>6682414933.333333</v>
      </c>
      <c r="E29" s="41">
        <f t="shared" ref="E29" si="2">+D29</f>
        <v>6682414933.333333</v>
      </c>
      <c r="F29" s="53">
        <f t="shared" si="1"/>
        <v>20047244800</v>
      </c>
    </row>
    <row r="30" spans="2:8" ht="22.15" customHeight="1" x14ac:dyDescent="0.3">
      <c r="B30" s="90" t="str">
        <f>+Investment!B19</f>
        <v xml:space="preserve">Նախագիծ </v>
      </c>
      <c r="C30" s="40">
        <f>+Investment!G19</f>
        <v>229482400</v>
      </c>
      <c r="D30" s="40"/>
      <c r="E30" s="40"/>
      <c r="F30" s="53">
        <f t="shared" si="1"/>
        <v>229482400</v>
      </c>
    </row>
    <row r="31" spans="2:8" ht="22.15" customHeight="1" x14ac:dyDescent="0.3">
      <c r="B31" s="90" t="str">
        <f>+Investment!B20</f>
        <v>Գազի խողովակների վերաբաշխում</v>
      </c>
      <c r="C31" s="41">
        <f>+Investment!G20</f>
        <v>5000000</v>
      </c>
      <c r="D31" s="41">
        <v>0</v>
      </c>
      <c r="E31" s="41"/>
      <c r="F31" s="53">
        <f t="shared" si="1"/>
        <v>5000000</v>
      </c>
    </row>
    <row r="32" spans="2:8" ht="22.15" customHeight="1" x14ac:dyDescent="0.3">
      <c r="B32" s="90" t="str">
        <f>+Investment!B21</f>
        <v>Հողամասի նպատակային նշանակության փոփոխություն</v>
      </c>
      <c r="C32" s="40">
        <f>+Investment!G21/3</f>
        <v>27225453</v>
      </c>
      <c r="D32" s="40">
        <f>+C32</f>
        <v>27225453</v>
      </c>
      <c r="E32" s="40">
        <f>+D32</f>
        <v>27225453</v>
      </c>
      <c r="F32" s="53">
        <f t="shared" si="1"/>
        <v>81676359</v>
      </c>
    </row>
    <row r="33" spans="2:6" ht="22.15" customHeight="1" x14ac:dyDescent="0.3">
      <c r="B33" s="90" t="str">
        <f>+Investment!B22</f>
        <v>Այլ ծախսեր (մարքեթինգ, վարճական, չնախատեսված, այլն)</v>
      </c>
      <c r="C33" s="41">
        <f>+Investment!G22/3</f>
        <v>133648298.66666667</v>
      </c>
      <c r="D33" s="41">
        <f>+C33</f>
        <v>133648298.66666667</v>
      </c>
      <c r="E33" s="41">
        <f>+D33</f>
        <v>133648298.66666667</v>
      </c>
      <c r="F33" s="53">
        <f t="shared" si="1"/>
        <v>400944896</v>
      </c>
    </row>
    <row r="34" spans="2:6" ht="22.15" customHeight="1" x14ac:dyDescent="0.3">
      <c r="B34" s="90" t="str">
        <f>+Investment!B23</f>
        <v>Հարկեր (ԱԱՀ, շահութահարկ)</v>
      </c>
      <c r="C34" s="40">
        <f>+Investment!$G$23*0.5</f>
        <v>4931130347.7333326</v>
      </c>
      <c r="D34" s="40">
        <f>+Investment!$G$23*0.3</f>
        <v>2958678208.6399994</v>
      </c>
      <c r="E34" s="40">
        <f>+Investment!$G$23*0.2</f>
        <v>1972452139.0933332</v>
      </c>
      <c r="F34" s="53">
        <f t="shared" si="1"/>
        <v>9862260695.4666653</v>
      </c>
    </row>
    <row r="35" spans="2:6" ht="22.15" customHeight="1" x14ac:dyDescent="0.3">
      <c r="B35" s="90" t="s">
        <v>30</v>
      </c>
      <c r="C35" s="41">
        <f>+Credit!O11</f>
        <v>2242802092.9250002</v>
      </c>
      <c r="D35" s="41">
        <f>+Credit!O18</f>
        <v>1360388154.7250001</v>
      </c>
      <c r="E35" s="41">
        <f>+Credit!O25</f>
        <v>477974216.52500015</v>
      </c>
      <c r="F35" s="53">
        <f t="shared" si="1"/>
        <v>4081164464.1750007</v>
      </c>
    </row>
    <row r="36" spans="2:6" ht="22.15" customHeight="1" x14ac:dyDescent="0.3">
      <c r="B36" s="30"/>
      <c r="C36" s="40"/>
      <c r="D36" s="40"/>
      <c r="E36" s="40"/>
      <c r="F36" s="53">
        <f t="shared" si="1"/>
        <v>0</v>
      </c>
    </row>
    <row r="37" spans="2:6" ht="22.15" customHeight="1" x14ac:dyDescent="0.3">
      <c r="B37" s="30"/>
      <c r="C37" s="41"/>
      <c r="D37" s="41"/>
      <c r="E37" s="41"/>
      <c r="F37" s="53">
        <f t="shared" si="1"/>
        <v>0</v>
      </c>
    </row>
    <row r="38" spans="2:6" ht="22.15" customHeight="1" x14ac:dyDescent="0.3">
      <c r="B38" s="30"/>
      <c r="C38" s="41"/>
      <c r="D38" s="41"/>
      <c r="E38" s="41"/>
      <c r="F38" s="53">
        <f t="shared" si="1"/>
        <v>0</v>
      </c>
    </row>
    <row r="39" spans="2:6" ht="22.15" customHeight="1" x14ac:dyDescent="0.3">
      <c r="B39" s="30"/>
      <c r="C39" s="40"/>
      <c r="D39" s="40"/>
      <c r="E39" s="40"/>
      <c r="F39" s="53">
        <f t="shared" si="1"/>
        <v>0</v>
      </c>
    </row>
    <row r="40" spans="2:6" ht="30" customHeight="1" x14ac:dyDescent="0.3">
      <c r="B40" s="105" t="s">
        <v>63</v>
      </c>
      <c r="C40" s="65">
        <f>SUM(C24:C39)</f>
        <v>15547703525.658333</v>
      </c>
      <c r="D40" s="66">
        <f>SUM(D24:D39)</f>
        <v>11162355048.365</v>
      </c>
      <c r="E40" s="66">
        <f>SUM(E24:E39)</f>
        <v>9293715040.6183338</v>
      </c>
      <c r="F40" s="55">
        <f t="shared" si="1"/>
        <v>36003773614.641663</v>
      </c>
    </row>
    <row r="41" spans="2:6" ht="19.899999999999999" customHeight="1" x14ac:dyDescent="0.3">
      <c r="B41" s="30"/>
      <c r="C41" s="38"/>
      <c r="D41" s="38"/>
      <c r="E41" s="38"/>
      <c r="F41" s="38"/>
    </row>
    <row r="42" spans="2:6" ht="22.15" customHeight="1" x14ac:dyDescent="0.3">
      <c r="B42" s="106" t="s">
        <v>31</v>
      </c>
      <c r="C42" s="45">
        <f>+Credit!$O10</f>
        <v>7353449484.999999</v>
      </c>
      <c r="D42" s="45">
        <f>+Credit!$O17</f>
        <v>7353449484.999999</v>
      </c>
      <c r="E42" s="45">
        <f>+Credit!$O24</f>
        <v>7353449484.999999</v>
      </c>
      <c r="F42" s="59">
        <f>SUM(C42:E42)</f>
        <v>22060348454.999996</v>
      </c>
    </row>
    <row r="43" spans="2:6" ht="22.15" customHeight="1" x14ac:dyDescent="0.3">
      <c r="B43" s="30"/>
      <c r="C43" s="41"/>
      <c r="D43" s="41"/>
      <c r="E43" s="41"/>
      <c r="F43" s="53">
        <f>SUM(C43:E43)</f>
        <v>0</v>
      </c>
    </row>
    <row r="44" spans="2:6" ht="22.15" customHeight="1" x14ac:dyDescent="0.3">
      <c r="B44" s="30"/>
      <c r="C44" s="46"/>
      <c r="D44" s="40"/>
      <c r="E44" s="40"/>
      <c r="F44" s="60">
        <f>SUM(C44:E44)</f>
        <v>0</v>
      </c>
    </row>
    <row r="45" spans="2:6" ht="30" customHeight="1" x14ac:dyDescent="0.3">
      <c r="B45" s="105" t="s">
        <v>9</v>
      </c>
      <c r="C45" s="63">
        <f>+C40+C42</f>
        <v>22901153010.658333</v>
      </c>
      <c r="D45" s="63">
        <f>+D40+D42</f>
        <v>18515804533.364998</v>
      </c>
      <c r="E45" s="63">
        <f>+E40+E42</f>
        <v>16647164525.618332</v>
      </c>
      <c r="F45" s="61">
        <f>SUM(F40:F44)</f>
        <v>58064122069.641663</v>
      </c>
    </row>
    <row r="46" spans="2:6" ht="30" customHeight="1" x14ac:dyDescent="0.3">
      <c r="B46" s="105" t="s">
        <v>10</v>
      </c>
      <c r="C46" s="64">
        <f>+C8+C19-C45</f>
        <v>29352802107.856255</v>
      </c>
      <c r="D46" s="64">
        <f>+D8+D19-D45</f>
        <v>29259209649.655846</v>
      </c>
      <c r="E46" s="64">
        <f>+E8+E19-E45</f>
        <v>24500314555.852097</v>
      </c>
      <c r="F46" s="62"/>
    </row>
    <row r="47" spans="2:6" ht="30" customHeight="1" x14ac:dyDescent="0.3">
      <c r="C47" s="18"/>
      <c r="D47" s="18"/>
      <c r="E47" s="18"/>
      <c r="F47" s="18"/>
    </row>
    <row r="48" spans="2:6" ht="22.15" customHeight="1" x14ac:dyDescent="0.3">
      <c r="B48" s="10"/>
      <c r="C48" s="19"/>
      <c r="D48" s="19"/>
      <c r="E48" s="19"/>
      <c r="F48" s="19"/>
    </row>
    <row r="49" spans="3:6" ht="19.899999999999999" customHeight="1" x14ac:dyDescent="0.3">
      <c r="C49" s="18"/>
      <c r="D49" s="18"/>
      <c r="E49" s="18"/>
      <c r="F49" s="18"/>
    </row>
  </sheetData>
  <mergeCells count="3">
    <mergeCell ref="F7:F8"/>
    <mergeCell ref="B1:F1"/>
    <mergeCell ref="B2:F2"/>
  </mergeCells>
  <conditionalFormatting sqref="C8:E8">
    <cfRule type="expression" dxfId="2" priority="1">
      <formula>C8&lt;Cash_Minimum</formula>
    </cfRule>
  </conditionalFormatting>
  <conditionalFormatting sqref="F12:F20 C19:E20 F24:F39 C40:F40 F42:F46 C45:E46">
    <cfRule type="cellIs" dxfId="1" priority="2" operator="lessThan">
      <formula>0</formula>
    </cfRule>
  </conditionalFormatting>
  <dataValidations disablePrompts="1" count="6">
    <dataValidation allowBlank="1" showInputMessage="1" showErrorMessage="1" prompt="Enter insurance expense such as liability and fire insurance" sqref="E28" xr:uid="{00000000-0002-0000-0200-000000000000}"/>
    <dataValidation allowBlank="1" showInputMessage="1" showErrorMessage="1" promptTitle="Cash Flow Forecast Template" prompt="Enter your company name in cell B1, starting cash on hand in cell C4, starting date in cell F4, and a cash minimum balance alert in cell J4._x000a__x000a_Enter the values for your Cash Receipts and Cash Paid Out items for each month in the tables below._x000a_" sqref="A1" xr:uid="{00000000-0002-0000-0200-000001000000}"/>
    <dataValidation allowBlank="1" showInputMessage="1" showErrorMessage="1" prompt="Enter the starting cash amount during the starting date" sqref="C4" xr:uid="{00000000-0002-0000-0200-000002000000}"/>
    <dataValidation allowBlank="1" showInputMessage="1" showErrorMessage="1" prompt="Enter the cash receipts items for each month._x000a__x000a_For Returns and allowances, enter the values as positive numbers._x000a_" sqref="B10" xr:uid="{00000000-0002-0000-0200-000003000000}"/>
    <dataValidation allowBlank="1" showInputMessage="1" showErrorMessage="1" prompt="Enter the cash paid out items for each month_x000a_" sqref="B22" xr:uid="{00000000-0002-0000-0200-000004000000}"/>
    <dataValidation allowBlank="1" showInputMessage="1" showErrorMessage="1" prompt="Enter other operating values that you want to track across each month" sqref="B48" xr:uid="{00000000-0002-0000-0200-000005000000}"/>
  </dataValidations>
  <printOptions horizontalCentered="1"/>
  <pageMargins left="0.3" right="0.3" top="0.5" bottom="0.5" header="0.3" footer="0.3"/>
  <pageSetup scale="4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41"/>
  <sheetViews>
    <sheetView showGridLines="0" topLeftCell="A19" zoomScale="85" zoomScaleNormal="85" workbookViewId="0">
      <selection activeCell="B4" sqref="B4:C4"/>
    </sheetView>
  </sheetViews>
  <sheetFormatPr defaultColWidth="9" defaultRowHeight="22.15" customHeight="1" x14ac:dyDescent="0.3"/>
  <cols>
    <col min="1" max="1" width="1.77734375" style="2" customWidth="1"/>
    <col min="2" max="2" width="56.44140625" style="8" customWidth="1"/>
    <col min="3" max="6" width="38.88671875" style="3" customWidth="1"/>
    <col min="7" max="7" width="1.77734375" style="2" customWidth="1"/>
    <col min="8" max="8" width="12.44140625" style="2" bestFit="1" customWidth="1"/>
    <col min="9" max="16384" width="9" style="2"/>
  </cols>
  <sheetData>
    <row r="1" spans="1:8" s="7" customFormat="1" ht="46.5" x14ac:dyDescent="0.7">
      <c r="A1" s="2"/>
      <c r="B1" s="119" t="s">
        <v>1</v>
      </c>
      <c r="C1" s="119"/>
      <c r="D1" s="119"/>
      <c r="E1" s="119"/>
      <c r="F1" s="119"/>
    </row>
    <row r="2" spans="1:8" ht="46.5" x14ac:dyDescent="0.7">
      <c r="B2" s="120" t="s">
        <v>73</v>
      </c>
      <c r="C2" s="119"/>
      <c r="D2" s="119"/>
      <c r="E2" s="119"/>
      <c r="F2" s="119"/>
      <c r="G2" s="2" t="s">
        <v>0</v>
      </c>
    </row>
    <row r="3" spans="1:8" ht="21" customHeight="1" x14ac:dyDescent="0.3">
      <c r="B3" s="30"/>
      <c r="C3" s="31"/>
      <c r="D3" s="31"/>
      <c r="E3" s="31"/>
      <c r="F3" s="31"/>
    </row>
    <row r="4" spans="1:8" ht="30" customHeight="1" x14ac:dyDescent="0.3">
      <c r="B4" s="90" t="s">
        <v>16</v>
      </c>
      <c r="C4" s="90" t="s">
        <v>85</v>
      </c>
      <c r="D4" s="38"/>
      <c r="E4" s="38"/>
      <c r="F4" s="38"/>
    </row>
    <row r="5" spans="1:8" ht="22.15" customHeight="1" x14ac:dyDescent="0.3">
      <c r="B5" s="102" t="s">
        <v>74</v>
      </c>
      <c r="C5" s="103" t="s">
        <v>42</v>
      </c>
      <c r="D5" s="104" t="s">
        <v>43</v>
      </c>
      <c r="E5" s="104" t="s">
        <v>44</v>
      </c>
      <c r="F5" s="39"/>
    </row>
    <row r="6" spans="1:8" ht="19.899999999999999" customHeight="1" x14ac:dyDescent="0.3">
      <c r="B6" s="108"/>
      <c r="C6" s="38"/>
      <c r="D6" s="38"/>
      <c r="E6" s="38"/>
      <c r="F6" s="38"/>
    </row>
    <row r="7" spans="1:8" ht="22.15" customHeight="1" x14ac:dyDescent="0.3">
      <c r="B7" s="107" t="str">
        <f>+Investment!B7</f>
        <v>Բնակելի տարածքներ</v>
      </c>
      <c r="C7" s="40">
        <f>+'Cash flow'!$C12/1.2</f>
        <v>15124092500</v>
      </c>
      <c r="D7" s="40">
        <f>+'Cash flow'!D12/1.2</f>
        <v>9074455500</v>
      </c>
      <c r="E7" s="40">
        <f>+'Cash flow'!E12/1.2</f>
        <v>6049637000</v>
      </c>
      <c r="F7" s="52">
        <f t="shared" ref="F7:F13" si="0">SUM(C7:E7)</f>
        <v>30248185000</v>
      </c>
    </row>
    <row r="8" spans="1:8" ht="22.15" customHeight="1" x14ac:dyDescent="0.3">
      <c r="B8" s="107" t="str">
        <f>+Investment!B8</f>
        <v>Բնակելի տարածքների ավտոկայանատեղներ</v>
      </c>
      <c r="C8" s="40">
        <f>+'Cash flow'!$C13/1.2</f>
        <v>1415000000</v>
      </c>
      <c r="D8" s="40">
        <f>+'Cash flow'!$D13/1.2</f>
        <v>849000000</v>
      </c>
      <c r="E8" s="40">
        <f>+'Cash flow'!$E13/1.2</f>
        <v>566000000</v>
      </c>
      <c r="F8" s="53">
        <f t="shared" si="0"/>
        <v>2830000000</v>
      </c>
    </row>
    <row r="9" spans="1:8" ht="22.15" customHeight="1" x14ac:dyDescent="0.3">
      <c r="B9" s="107" t="str">
        <f>+Investment!B9</f>
        <v>Հասարակական տարածքներ</v>
      </c>
      <c r="C9" s="40">
        <f>+'Cash flow'!$C14/1.2</f>
        <v>7130337500</v>
      </c>
      <c r="D9" s="40">
        <f>+'Cash flow'!$D14/1.2</f>
        <v>4278202500</v>
      </c>
      <c r="E9" s="40">
        <f>+'Cash flow'!$E14/1.2</f>
        <v>2852135000</v>
      </c>
      <c r="F9" s="53">
        <f t="shared" si="0"/>
        <v>14260675000</v>
      </c>
    </row>
    <row r="10" spans="1:8" ht="22.15" customHeight="1" x14ac:dyDescent="0.3">
      <c r="B10" s="107" t="str">
        <f>+Investment!B10</f>
        <v>Հասարակական տարածքների ավտոկայանատեղիներ</v>
      </c>
      <c r="C10" s="40">
        <f>+'Cash flow'!$C15/1.2</f>
        <v>185000000</v>
      </c>
      <c r="D10" s="40">
        <f>+'Cash flow'!$D15/1.2</f>
        <v>111000000</v>
      </c>
      <c r="E10" s="40">
        <f>+'Cash flow'!$E15/1.2</f>
        <v>74000000</v>
      </c>
      <c r="F10" s="53">
        <f t="shared" si="0"/>
        <v>370000000</v>
      </c>
    </row>
    <row r="11" spans="1:8" ht="22.15" customHeight="1" x14ac:dyDescent="0.3">
      <c r="B11" s="108"/>
      <c r="C11" s="40"/>
      <c r="D11" s="40"/>
      <c r="E11" s="40"/>
      <c r="F11" s="53">
        <f t="shared" si="0"/>
        <v>0</v>
      </c>
    </row>
    <row r="12" spans="1:8" ht="22.15" customHeight="1" x14ac:dyDescent="0.3">
      <c r="B12" s="108"/>
      <c r="C12" s="41"/>
      <c r="D12" s="41"/>
      <c r="E12" s="41"/>
      <c r="F12" s="53">
        <f t="shared" si="0"/>
        <v>0</v>
      </c>
    </row>
    <row r="13" spans="1:8" ht="22.15" customHeight="1" x14ac:dyDescent="0.3">
      <c r="B13" s="108"/>
      <c r="C13" s="42"/>
      <c r="D13" s="42"/>
      <c r="E13" s="42"/>
      <c r="F13" s="53">
        <f t="shared" si="0"/>
        <v>0</v>
      </c>
    </row>
    <row r="14" spans="1:8" ht="32.25" customHeight="1" x14ac:dyDescent="0.3">
      <c r="B14" s="105" t="s">
        <v>75</v>
      </c>
      <c r="C14" s="56">
        <f>SUM(C7:C13)</f>
        <v>23854430000</v>
      </c>
      <c r="D14" s="56">
        <f>SUM(D7:D13)</f>
        <v>14312658000</v>
      </c>
      <c r="E14" s="56">
        <f>SUM(E7:E13)</f>
        <v>9541772000</v>
      </c>
      <c r="F14" s="54">
        <f>SUM(F7:F13)</f>
        <v>47708860000</v>
      </c>
      <c r="H14" s="47"/>
    </row>
    <row r="15" spans="1:8" ht="32.25" customHeight="1" x14ac:dyDescent="0.3">
      <c r="B15" s="109"/>
      <c r="C15" s="57"/>
      <c r="D15" s="58"/>
      <c r="E15" s="58"/>
      <c r="F15" s="55"/>
    </row>
    <row r="16" spans="1:8" ht="30" customHeight="1" x14ac:dyDescent="0.3">
      <c r="B16" s="108"/>
      <c r="C16" s="38"/>
      <c r="D16" s="38"/>
      <c r="E16" s="38"/>
      <c r="F16" s="38"/>
    </row>
    <row r="17" spans="2:6" ht="22.15" customHeight="1" x14ac:dyDescent="0.3">
      <c r="B17" s="102" t="s">
        <v>76</v>
      </c>
      <c r="C17" s="44"/>
      <c r="D17" s="44"/>
      <c r="E17" s="44"/>
      <c r="F17" s="44"/>
    </row>
    <row r="18" spans="2:6" ht="19.899999999999999" customHeight="1" x14ac:dyDescent="0.3">
      <c r="B18" s="108"/>
      <c r="C18" s="38"/>
      <c r="D18" s="38"/>
      <c r="E18" s="38"/>
      <c r="F18" s="38"/>
    </row>
    <row r="19" spans="2:6" ht="22.15" customHeight="1" x14ac:dyDescent="0.3">
      <c r="B19" s="108"/>
      <c r="C19" s="40">
        <f>+Investment!G13</f>
        <v>0</v>
      </c>
      <c r="D19" s="40"/>
      <c r="E19" s="40"/>
      <c r="F19" s="52">
        <f t="shared" ref="F19:F34" si="1">SUM(C19:E19)</f>
        <v>0</v>
      </c>
    </row>
    <row r="20" spans="2:6" ht="22.15" customHeight="1" x14ac:dyDescent="0.3">
      <c r="B20" s="107" t="str">
        <f>+Investment!B14</f>
        <v>Շին․ թույլտվություն - բնակելի տարածքներ</v>
      </c>
      <c r="C20" s="41">
        <f>+Investment!G14</f>
        <v>648000000</v>
      </c>
      <c r="D20" s="41"/>
      <c r="E20" s="41"/>
      <c r="F20" s="53">
        <f t="shared" si="1"/>
        <v>648000000</v>
      </c>
    </row>
    <row r="21" spans="2:6" ht="22.15" customHeight="1" x14ac:dyDescent="0.3">
      <c r="B21" s="107" t="str">
        <f>+Investment!B15</f>
        <v>ԱՊԶ  - բնակելի տարածքներ</v>
      </c>
      <c r="C21" s="40">
        <f>+Investment!G15</f>
        <v>324000000</v>
      </c>
      <c r="D21" s="40"/>
      <c r="E21" s="40"/>
      <c r="F21" s="53">
        <f t="shared" si="1"/>
        <v>324000000</v>
      </c>
    </row>
    <row r="22" spans="2:6" ht="22.15" customHeight="1" x14ac:dyDescent="0.3">
      <c r="B22" s="107" t="str">
        <f>+Investment!B16</f>
        <v>Շին․ թույլտվություն - հասարակական տարածքներ</v>
      </c>
      <c r="C22" s="41">
        <f>+Investment!G16</f>
        <v>216000000</v>
      </c>
      <c r="D22" s="41"/>
      <c r="E22" s="41"/>
      <c r="F22" s="53">
        <f t="shared" si="1"/>
        <v>216000000</v>
      </c>
    </row>
    <row r="23" spans="2:6" ht="22.15" customHeight="1" x14ac:dyDescent="0.3">
      <c r="B23" s="107" t="str">
        <f>+Investment!B17</f>
        <v>ԱՊԶ - հասարակական տարածքներ</v>
      </c>
      <c r="C23" s="40">
        <f>+Investment!G17</f>
        <v>108000000</v>
      </c>
      <c r="D23" s="40"/>
      <c r="E23" s="40"/>
      <c r="F23" s="53">
        <f t="shared" si="1"/>
        <v>108000000</v>
      </c>
    </row>
    <row r="24" spans="2:6" ht="22.15" customHeight="1" x14ac:dyDescent="0.3">
      <c r="B24" s="107" t="str">
        <f>+Investment!B18</f>
        <v>Շինարարության ծախսեր</v>
      </c>
      <c r="C24" s="41">
        <f>+Investment!G18/3</f>
        <v>6682414933.333333</v>
      </c>
      <c r="D24" s="41">
        <f>+C24</f>
        <v>6682414933.333333</v>
      </c>
      <c r="E24" s="41">
        <f t="shared" ref="E24" si="2">+D24</f>
        <v>6682414933.333333</v>
      </c>
      <c r="F24" s="53">
        <f t="shared" si="1"/>
        <v>20047244800</v>
      </c>
    </row>
    <row r="25" spans="2:6" ht="22.15" customHeight="1" x14ac:dyDescent="0.3">
      <c r="B25" s="107" t="str">
        <f>+Investment!B19</f>
        <v xml:space="preserve">Նախագիծ </v>
      </c>
      <c r="C25" s="40">
        <f>+Investment!G19</f>
        <v>229482400</v>
      </c>
      <c r="D25" s="40"/>
      <c r="E25" s="40"/>
      <c r="F25" s="53">
        <f t="shared" si="1"/>
        <v>229482400</v>
      </c>
    </row>
    <row r="26" spans="2:6" ht="22.15" customHeight="1" x14ac:dyDescent="0.3">
      <c r="B26" s="107" t="str">
        <f>+Investment!B20</f>
        <v>Գազի խողովակների վերաբաշխում</v>
      </c>
      <c r="C26" s="41">
        <f>+Investment!G20</f>
        <v>5000000</v>
      </c>
      <c r="D26" s="41">
        <f>+Investment!G20</f>
        <v>5000000</v>
      </c>
      <c r="E26" s="41"/>
      <c r="F26" s="53">
        <f t="shared" si="1"/>
        <v>10000000</v>
      </c>
    </row>
    <row r="27" spans="2:6" ht="22.15" customHeight="1" x14ac:dyDescent="0.3">
      <c r="B27" s="107" t="str">
        <f>+Investment!B21</f>
        <v>Հողամասի նպատակային նշանակության փոփոխություն</v>
      </c>
      <c r="C27" s="40">
        <f>+Investment!G21/3</f>
        <v>27225453</v>
      </c>
      <c r="D27" s="40">
        <f>+C27</f>
        <v>27225453</v>
      </c>
      <c r="E27" s="40">
        <f>+D27</f>
        <v>27225453</v>
      </c>
      <c r="F27" s="53">
        <f t="shared" si="1"/>
        <v>81676359</v>
      </c>
    </row>
    <row r="28" spans="2:6" ht="22.15" customHeight="1" x14ac:dyDescent="0.3">
      <c r="B28" s="107" t="str">
        <f>+Investment!B22</f>
        <v>Այլ ծախսեր (մարքեթինգ, վարճական, չնախատեսված, այլն)</v>
      </c>
      <c r="C28" s="41">
        <f>+Investment!G22/3</f>
        <v>133648298.66666667</v>
      </c>
      <c r="D28" s="41">
        <f>+C28</f>
        <v>133648298.66666667</v>
      </c>
      <c r="E28" s="41">
        <f>+D28</f>
        <v>133648298.66666667</v>
      </c>
      <c r="F28" s="53">
        <f t="shared" si="1"/>
        <v>400944896</v>
      </c>
    </row>
    <row r="29" spans="2:6" ht="22.15" customHeight="1" x14ac:dyDescent="0.3">
      <c r="B29" s="108"/>
      <c r="C29" s="40"/>
      <c r="D29" s="40"/>
      <c r="E29" s="40"/>
      <c r="F29" s="53"/>
    </row>
    <row r="30" spans="2:6" ht="22.15" customHeight="1" x14ac:dyDescent="0.3">
      <c r="B30" s="107" t="s">
        <v>30</v>
      </c>
      <c r="C30" s="41">
        <f>+Credit!O11</f>
        <v>2242802092.9250002</v>
      </c>
      <c r="D30" s="41">
        <f>+Credit!O18</f>
        <v>1360388154.7250001</v>
      </c>
      <c r="E30" s="41">
        <f>+Credit!O25</f>
        <v>477974216.52500015</v>
      </c>
      <c r="F30" s="53">
        <f t="shared" si="1"/>
        <v>4081164464.1750007</v>
      </c>
    </row>
    <row r="31" spans="2:6" ht="22.15" customHeight="1" x14ac:dyDescent="0.3">
      <c r="B31" s="108"/>
      <c r="C31" s="40"/>
      <c r="D31" s="40"/>
      <c r="E31" s="40"/>
      <c r="F31" s="53">
        <f t="shared" si="1"/>
        <v>0</v>
      </c>
    </row>
    <row r="32" spans="2:6" ht="22.15" customHeight="1" x14ac:dyDescent="0.3">
      <c r="B32" s="108"/>
      <c r="C32" s="41"/>
      <c r="D32" s="41"/>
      <c r="E32" s="41"/>
      <c r="F32" s="53">
        <f t="shared" si="1"/>
        <v>0</v>
      </c>
    </row>
    <row r="33" spans="2:7" ht="22.15" customHeight="1" x14ac:dyDescent="0.3">
      <c r="B33" s="108"/>
      <c r="C33" s="40"/>
      <c r="D33" s="40"/>
      <c r="E33" s="40"/>
      <c r="F33" s="53">
        <f t="shared" si="1"/>
        <v>0</v>
      </c>
    </row>
    <row r="34" spans="2:7" ht="30" customHeight="1" x14ac:dyDescent="0.3">
      <c r="B34" s="105" t="s">
        <v>77</v>
      </c>
      <c r="C34" s="65">
        <f>SUM(C19:C33)</f>
        <v>10616573177.924999</v>
      </c>
      <c r="D34" s="66">
        <f>SUM(D19:D33)</f>
        <v>8208676839.7250004</v>
      </c>
      <c r="E34" s="66">
        <f>SUM(E19:E33)</f>
        <v>7321262901.5250006</v>
      </c>
      <c r="F34" s="55">
        <f t="shared" si="1"/>
        <v>26146512919.175003</v>
      </c>
    </row>
    <row r="35" spans="2:7" ht="30" customHeight="1" x14ac:dyDescent="0.3">
      <c r="B35" s="105" t="s">
        <v>79</v>
      </c>
      <c r="C35" s="84">
        <f>+(C14-C34)*0.18</f>
        <v>2382814227.9735003</v>
      </c>
      <c r="D35" s="84">
        <f>+(D14-D34)*0.18</f>
        <v>1098716608.8494999</v>
      </c>
      <c r="E35" s="84">
        <f>+(E14-E34)*0.18</f>
        <v>399691637.72549987</v>
      </c>
      <c r="F35" s="84">
        <f>+(F14-F34)*0.18</f>
        <v>3881222474.5484991</v>
      </c>
      <c r="G35" s="49"/>
    </row>
    <row r="36" spans="2:7" ht="19.899999999999999" customHeight="1" x14ac:dyDescent="0.3">
      <c r="B36" s="108"/>
      <c r="C36" s="38"/>
      <c r="D36" s="38"/>
      <c r="E36" s="38"/>
      <c r="F36" s="38"/>
    </row>
    <row r="37" spans="2:7" ht="30" customHeight="1" x14ac:dyDescent="0.3">
      <c r="B37" s="105" t="s">
        <v>78</v>
      </c>
      <c r="C37" s="85">
        <f>+C14-C34-C35</f>
        <v>10855042594.101501</v>
      </c>
      <c r="D37" s="85">
        <f>+D14-D34-D35</f>
        <v>5005264551.4254999</v>
      </c>
      <c r="E37" s="85">
        <f>+E14-E34-E35</f>
        <v>1820817460.7494996</v>
      </c>
      <c r="F37" s="85">
        <f>+F14-F34-F35</f>
        <v>17681124606.276497</v>
      </c>
    </row>
    <row r="38" spans="2:7" ht="30" customHeight="1" x14ac:dyDescent="0.3">
      <c r="C38" s="18"/>
      <c r="D38" s="18"/>
      <c r="E38" s="18"/>
      <c r="F38" s="18"/>
    </row>
    <row r="39" spans="2:7" ht="22.15" customHeight="1" x14ac:dyDescent="0.3">
      <c r="B39" s="10"/>
      <c r="C39" s="19"/>
      <c r="D39" s="19"/>
      <c r="E39" s="19"/>
      <c r="F39" s="19"/>
    </row>
    <row r="40" spans="2:7" ht="19.899999999999999" customHeight="1" x14ac:dyDescent="0.3">
      <c r="C40" s="18"/>
      <c r="D40" s="18"/>
      <c r="E40" s="18"/>
      <c r="F40" s="18"/>
    </row>
    <row r="41" spans="2:7" ht="22.15" customHeight="1" x14ac:dyDescent="0.3">
      <c r="D41" s="116"/>
    </row>
  </sheetData>
  <mergeCells count="2">
    <mergeCell ref="B1:F1"/>
    <mergeCell ref="B2:F2"/>
  </mergeCells>
  <conditionalFormatting sqref="F7:F15 C14:E15 F19:F33 C34:F34 C37:F37">
    <cfRule type="cellIs" dxfId="0" priority="2" operator="lessThan">
      <formula>0</formula>
    </cfRule>
  </conditionalFormatting>
  <dataValidations count="5">
    <dataValidation allowBlank="1" showInputMessage="1" showErrorMessage="1" prompt="Enter other operating values that you want to track across each month" sqref="B39" xr:uid="{00000000-0002-0000-0300-000000000000}"/>
    <dataValidation allowBlank="1" showInputMessage="1" showErrorMessage="1" prompt="Enter the cash paid out items for each month_x000a_" sqref="B17" xr:uid="{00000000-0002-0000-0300-000001000000}"/>
    <dataValidation allowBlank="1" showInputMessage="1" showErrorMessage="1" prompt="Enter the cash receipts items for each month._x000a__x000a_For Returns and allowances, enter the values as positive numbers._x000a_" sqref="B5" xr:uid="{00000000-0002-0000-0300-000002000000}"/>
    <dataValidation allowBlank="1" showInputMessage="1" showErrorMessage="1" promptTitle="Cash Flow Forecast Template" prompt="Enter your company name in cell B1, starting cash on hand in cell C4, starting date in cell F4, and a cash minimum balance alert in cell J4._x000a__x000a_Enter the values for your Cash Receipts and Cash Paid Out items for each month in the tables below._x000a_" sqref="A1" xr:uid="{00000000-0002-0000-0300-000003000000}"/>
    <dataValidation allowBlank="1" showInputMessage="1" showErrorMessage="1" prompt="Enter insurance expense such as liability and fire insurance" sqref="E23" xr:uid="{00000000-0002-0000-0300-000004000000}"/>
  </dataValidations>
  <printOptions horizontalCentered="1"/>
  <pageMargins left="0.3" right="0.3" top="0.5" bottom="0.5" header="0.3" footer="0.3"/>
  <pageSetup scale="4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B10" sqref="B10"/>
    </sheetView>
  </sheetViews>
  <sheetFormatPr defaultRowHeight="15.75" x14ac:dyDescent="0.3"/>
  <cols>
    <col min="2" max="2" width="67.44140625" customWidth="1"/>
    <col min="3" max="3" width="14.33203125" bestFit="1" customWidth="1"/>
    <col min="4" max="4" width="12" bestFit="1" customWidth="1"/>
  </cols>
  <sheetData>
    <row r="1" spans="1:4" s="7" customFormat="1" ht="46.5" x14ac:dyDescent="0.7">
      <c r="A1" s="2"/>
      <c r="B1" s="119" t="s">
        <v>1</v>
      </c>
      <c r="C1" s="119"/>
    </row>
    <row r="2" spans="1:4" s="2" customFormat="1" ht="46.5" x14ac:dyDescent="0.7">
      <c r="B2" s="120" t="s">
        <v>81</v>
      </c>
      <c r="C2" s="119"/>
      <c r="D2" s="2" t="s">
        <v>0</v>
      </c>
    </row>
    <row r="3" spans="1:4" x14ac:dyDescent="0.3">
      <c r="B3" s="90" t="s">
        <v>16</v>
      </c>
      <c r="C3" s="90" t="s">
        <v>85</v>
      </c>
    </row>
    <row r="5" spans="1:4" ht="16.5" x14ac:dyDescent="0.3">
      <c r="B5" s="99" t="s">
        <v>82</v>
      </c>
      <c r="C5" s="111"/>
    </row>
    <row r="6" spans="1:4" x14ac:dyDescent="0.3">
      <c r="B6" s="78"/>
    </row>
    <row r="7" spans="1:4" x14ac:dyDescent="0.3">
      <c r="B7" s="91" t="s">
        <v>86</v>
      </c>
      <c r="C7" s="88">
        <f>+'Income Statement'!F14++'Income Statement'!F14*20%</f>
        <v>57250632000</v>
      </c>
    </row>
    <row r="8" spans="1:4" ht="16.5" x14ac:dyDescent="0.3">
      <c r="B8" s="110" t="s">
        <v>83</v>
      </c>
      <c r="C8" s="88">
        <v>37518609150</v>
      </c>
    </row>
    <row r="9" spans="1:4" ht="16.5" x14ac:dyDescent="0.3">
      <c r="B9" s="110" t="s">
        <v>69</v>
      </c>
      <c r="C9" s="88">
        <v>19732022850</v>
      </c>
    </row>
    <row r="10" spans="1:4" x14ac:dyDescent="0.3">
      <c r="B10" s="117" t="s">
        <v>84</v>
      </c>
    </row>
    <row r="12" spans="1:4" ht="16.5" x14ac:dyDescent="0.3">
      <c r="B12" s="100" t="s">
        <v>70</v>
      </c>
      <c r="C12" s="89"/>
    </row>
    <row r="14" spans="1:4" x14ac:dyDescent="0.3">
      <c r="B14" s="91" t="s">
        <v>71</v>
      </c>
      <c r="C14" s="87">
        <f>+C9/C8</f>
        <v>0.52592628823502108</v>
      </c>
    </row>
    <row r="15" spans="1:4" ht="16.5" x14ac:dyDescent="0.3">
      <c r="B15" s="110" t="s">
        <v>80</v>
      </c>
      <c r="C15" s="86">
        <f>+C8/('Income Statement'!F37/3)</f>
        <v>6.3658749065115803</v>
      </c>
    </row>
    <row r="16" spans="1:4" ht="16.5" x14ac:dyDescent="0.3">
      <c r="B16" s="110" t="s">
        <v>72</v>
      </c>
      <c r="C16" s="87">
        <f>+C9/C7</f>
        <v>0.34466034977570204</v>
      </c>
    </row>
    <row r="17" spans="2:2" x14ac:dyDescent="0.3">
      <c r="B17" s="79"/>
    </row>
  </sheetData>
  <mergeCells count="2">
    <mergeCell ref="B1:C1"/>
    <mergeCell ref="B2:C2"/>
  </mergeCells>
  <dataValidations count="1">
    <dataValidation allowBlank="1" showInputMessage="1" showErrorMessage="1" promptTitle="Cash Flow Forecast Template" prompt="Enter your company name in cell B1, starting cash on hand in cell C4, starting date in cell F4, and a cash minimum balance alert in cell J4._x000a__x000a_Enter the values for your Cash Receipts and Cash Paid Out items for each month in the tables below._x000a_" sqref="A1" xr:uid="{00000000-0002-0000-0400-000000000000}"/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5D4D3FA1-30A2-42F8-B51D-7BB6C9095E9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D984D9-47BB-465C-B809-4412CE862D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0CD5576-806B-4316-ABA4-7A78E2CBAD38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TM00587582</Templat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Investment</vt:lpstr>
      <vt:lpstr>Credit</vt:lpstr>
      <vt:lpstr>Cash flow</vt:lpstr>
      <vt:lpstr>Income Statement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2023-01-16T00:49:24Z</dcterms:created>
  <dcterms:modified xsi:type="dcterms:W3CDTF">2026-03-16T10:32:38Z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